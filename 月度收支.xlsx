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mac</author>
    <author>Administrator</author>
  </authors>
  <commentList>
    <comment ref="D10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项目信息牌制作</t>
        </r>
      </text>
    </comment>
    <comment ref="C14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办公耗材</t>
        </r>
      </text>
    </comment>
    <comment ref="C16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办公电脑、打印机</t>
        </r>
      </text>
    </comment>
    <comment ref="F16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冰柜37390、冰箱56460、洗衣机55399、桌椅105828、微波炉6148</t>
        </r>
      </text>
    </comment>
    <comment ref="C17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吉利汽车上牌费12000
交强险18354.38
商业险108338</t>
        </r>
      </text>
    </comment>
    <comment ref="B20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2024.11-2025.04      2万卢布*6个月
图拉office2024年12月12525
</t>
        </r>
      </text>
    </comment>
    <comment ref="C20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图拉office2025年1月12525
彼尔姆驻地123716卢布</t>
        </r>
      </text>
    </comment>
    <comment ref="C22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律师45000+39683</t>
        </r>
      </text>
    </comment>
    <comment ref="C24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招聘网站</t>
        </r>
      </text>
    </comment>
    <comment ref="B25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俄罗斯配额网站注册费</t>
        </r>
      </text>
    </comment>
    <comment ref="B34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图拉office水电费10月1000+09月1001</t>
        </r>
      </text>
    </comment>
    <comment ref="C34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图拉office水电费11月1675</t>
        </r>
      </text>
    </comment>
    <comment ref="C36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自检组织会员费
12月/01月</t>
        </r>
      </text>
    </comment>
    <comment ref="C39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本地财务系统</t>
        </r>
      </text>
    </comment>
    <comment ref="B40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向汪洋、王越高、刘振3年专家签保险费（3000rub/人）</t>
        </r>
      </text>
    </comment>
    <comment ref="B41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向汪洋、王越高
工作许可4200/人
税960/人</t>
        </r>
      </text>
    </comment>
    <comment ref="F4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四张地毯赔偿款
</t>
        </r>
      </text>
    </comment>
    <comment ref="B47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合同金额：80,720,600.00卢布</t>
        </r>
      </text>
    </comment>
    <comment ref="C47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合同额80,720,600.00卢布</t>
        </r>
      </text>
    </comment>
    <comment ref="C48" authorId="0">
      <text>
        <r>
          <rPr>
            <b/>
            <sz val="9"/>
            <rFont val="宋体"/>
            <charset val="134"/>
          </rPr>
          <t xml:space="preserve">mac:
</t>
        </r>
        <r>
          <rPr>
            <sz val="9"/>
            <rFont val="宋体"/>
            <charset val="134"/>
          </rPr>
          <t>预制桩合同额：20183921.29卢布
50%预付款11954446.72卢布
40%预付款8229474.57卢布</t>
        </r>
      </text>
    </comment>
    <comment ref="E53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6吨</t>
        </r>
      </text>
    </comment>
    <comment ref="F53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6吨</t>
        </r>
      </text>
    </comment>
    <comment ref="C54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防毒面具122,248.40+85123.80</t>
        </r>
      </text>
    </comment>
    <comment ref="C61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木方37908卢布
150米架子管51,326.80卢布</t>
        </r>
      </text>
    </comment>
    <comment ref="E61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安全展示牌32780</t>
        </r>
      </text>
    </comment>
    <comment ref="C62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五金电动工具</t>
        </r>
      </text>
    </comment>
    <comment ref="C73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柴油发电机租金</t>
        </r>
      </text>
    </comment>
    <comment ref="C75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柴油发电机</t>
        </r>
      </text>
    </comment>
    <comment ref="E7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100kw柴油发电机两个月租金</t>
        </r>
      </text>
    </comment>
    <comment ref="E78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发电机/厕所/办公室</t>
        </r>
      </text>
    </comment>
    <comment ref="C81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吸烟棚</t>
        </r>
      </text>
    </comment>
    <comment ref="C82" authorId="0">
      <text>
        <r>
          <rPr>
            <b/>
            <sz val="9"/>
            <rFont val="宋体"/>
            <charset val="134"/>
          </rPr>
          <t>mac:</t>
        </r>
        <r>
          <rPr>
            <sz val="9"/>
            <rFont val="宋体"/>
            <charset val="134"/>
          </rPr>
          <t xml:space="preserve">
吉利汽车</t>
        </r>
      </text>
    </comment>
  </commentList>
</comments>
</file>

<file path=xl/sharedStrings.xml><?xml version="1.0" encoding="utf-8"?>
<sst xmlns="http://schemas.openxmlformats.org/spreadsheetml/2006/main" count="388" uniqueCount="111">
  <si>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</si>
  <si>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</si>
  <si>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</si>
  <si>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</si>
  <si>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</si>
  <si>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</si>
  <si>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</si>
  <si>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</si>
  <si>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</si>
  <si>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</si>
  <si>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</si>
  <si>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</si>
  <si>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</si>
  <si>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</si>
  <si>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</si>
  <si>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</si>
  <si>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</si>
  <si>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合计</t>
  </si>
  <si>
    <t>收款收入</t>
  </si>
  <si>
    <t>　</t>
  </si>
  <si>
    <t>其他收入</t>
  </si>
  <si>
    <t>中国籍职工薪酬支出</t>
  </si>
  <si>
    <t>中国籍职工国内薪酬支出</t>
  </si>
  <si>
    <t>俄籍职工薪酬支出</t>
  </si>
  <si>
    <t>劳务分包（中亚小工）支出</t>
  </si>
  <si>
    <t>办公用品支出</t>
  </si>
  <si>
    <t>办公家具支出</t>
  </si>
  <si>
    <t>低值易耗品支出</t>
  </si>
  <si>
    <t>项目信息牌支出</t>
  </si>
  <si>
    <t>清洁费支出</t>
  </si>
  <si>
    <t>市内交通费支出</t>
  </si>
  <si>
    <t>桶装水支出</t>
  </si>
  <si>
    <t>车辆费用支出</t>
  </si>
  <si>
    <t>车辆维修费支出</t>
  </si>
  <si>
    <t>焊工考试费支出</t>
  </si>
  <si>
    <t>水电费支出</t>
  </si>
  <si>
    <t>专业网站服务费支出</t>
  </si>
  <si>
    <t>网络招聘服务费支出</t>
  </si>
  <si>
    <t>网站注册费支出</t>
  </si>
  <si>
    <t>宽带费支出</t>
  </si>
  <si>
    <t>专业事务所支出</t>
  </si>
  <si>
    <t>软件费（1C）支出</t>
  </si>
  <si>
    <t>国内工作服支出</t>
  </si>
  <si>
    <t>食堂炊具支出</t>
  </si>
  <si>
    <t>地毯赔偿款支出</t>
  </si>
  <si>
    <t>工人餐费支出</t>
  </si>
  <si>
    <t>其他支出</t>
  </si>
  <si>
    <t>财务费用支出</t>
  </si>
  <si>
    <t>培训费支出</t>
  </si>
  <si>
    <t>房屋租赁支出</t>
  </si>
  <si>
    <t>车辆租赁支出</t>
  </si>
  <si>
    <t>会员费（自检组织）支出</t>
  </si>
  <si>
    <t>人员动迁支出</t>
  </si>
  <si>
    <t>保险费支出</t>
  </si>
  <si>
    <t>签证费支出</t>
  </si>
  <si>
    <t>工作许可、国税登记支出</t>
  </si>
  <si>
    <t>配额费支出</t>
  </si>
  <si>
    <t>翻译公证费支出</t>
  </si>
  <si>
    <t>体检费支出</t>
  </si>
  <si>
    <t>海关费用支出</t>
  </si>
  <si>
    <t>增值税支出</t>
  </si>
  <si>
    <t>图拉液压支出</t>
  </si>
  <si>
    <r>
      <rPr>
        <sz val="11"/>
        <rFont val="Times New Roman Regular"/>
        <charset val="0"/>
      </rPr>
      <t xml:space="preserve">                         </t>
    </r>
    <r>
      <rPr>
        <sz val="11"/>
        <rFont val="Times New Roman Regular"/>
        <charset val="0"/>
      </rPr>
      <t>-</t>
    </r>
    <r>
      <rPr>
        <sz val="11"/>
        <rFont val="Times New Roman Regular"/>
        <charset val="0"/>
      </rPr>
      <t xml:space="preserve">  </t>
    </r>
  </si>
  <si>
    <t>预制桩支出</t>
  </si>
  <si>
    <t>土建分包支出</t>
  </si>
  <si>
    <t>钢板桩分包支出</t>
  </si>
  <si>
    <t>国内分包支出</t>
  </si>
  <si>
    <t>大件吊装支出</t>
  </si>
  <si>
    <t>混凝土支出</t>
  </si>
  <si>
    <t>砂石支出</t>
  </si>
  <si>
    <t>钢材支出</t>
  </si>
  <si>
    <t>道路板支出</t>
  </si>
  <si>
    <t>地脚螺栓支出</t>
  </si>
  <si>
    <t>预制柱支出</t>
  </si>
  <si>
    <t>预制水封井支出</t>
  </si>
  <si>
    <t>预制井支出</t>
  </si>
  <si>
    <t>其他材料支出</t>
  </si>
  <si>
    <t>五金材料支出</t>
  </si>
  <si>
    <t>土建工机具支出</t>
  </si>
  <si>
    <t>电气材料支出</t>
  </si>
  <si>
    <t>电缆支出</t>
  </si>
  <si>
    <t>劳保用品支出</t>
  </si>
  <si>
    <t>柴油支出</t>
  </si>
  <si>
    <t>钢筋网片支出</t>
  </si>
  <si>
    <t>架子管支出</t>
  </si>
  <si>
    <t>模板支出</t>
  </si>
  <si>
    <t>止水套管支出</t>
  </si>
  <si>
    <t>油漆支出</t>
  </si>
  <si>
    <t>检测材料支出</t>
  </si>
  <si>
    <t>台班支出</t>
  </si>
  <si>
    <t>固定资产支出</t>
  </si>
  <si>
    <t>购置发电机支出</t>
  </si>
  <si>
    <t>安措费支出</t>
  </si>
  <si>
    <t>租赁费支出</t>
  </si>
  <si>
    <t>运输费支出</t>
  </si>
  <si>
    <t>桩基测试支出</t>
  </si>
  <si>
    <t>点位测量支出</t>
  </si>
  <si>
    <t>现场资质支出</t>
  </si>
  <si>
    <r>
      <rPr>
        <sz val="11"/>
        <rFont val="Times New Roman Regular"/>
        <charset val="0"/>
      </rPr>
      <t xml:space="preserve">                           </t>
    </r>
    <r>
      <rPr>
        <sz val="11"/>
        <rFont val="Times New Roman Regular"/>
        <charset val="0"/>
      </rPr>
      <t>-</t>
    </r>
    <r>
      <rPr>
        <sz val="11"/>
        <rFont val="Times New Roman Regular"/>
        <charset val="0"/>
      </rPr>
      <t xml:space="preserve">  </t>
    </r>
  </si>
  <si>
    <t>预制场租赁支出</t>
  </si>
  <si>
    <t>二手集装箱支出</t>
  </si>
  <si>
    <t>现场临时设施支出</t>
  </si>
  <si>
    <t>集装箱板房支出</t>
  </si>
  <si>
    <t>临时厕所支出</t>
  </si>
  <si>
    <t>押金支出</t>
  </si>
  <si>
    <t>公司借记卡支出</t>
  </si>
  <si>
    <t>备用金支出</t>
  </si>
  <si>
    <t>还款支出</t>
  </si>
  <si>
    <t>汇兑损益支出</t>
  </si>
  <si>
    <t>罚款支出</t>
  </si>
  <si>
    <t>垫付CM支出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</si>
</sst>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&quot;$&quot;#,##0;[Red]\-&quot;$&quot;#,##0"/>
    <numFmt numFmtId="181" formatCode="yyyy&quot;年&quot;m&quot;月&quot;;@"/>
    <numFmt numFmtId="182" formatCode="#,##0.00_ "/>
  </numFmts>
  <fonts count="33">
    <font>
      <sz val="11"/>
      <color theme="1"/>
      <name val="宋体"/>
      <charset val="134"/>
      <scheme val="minor"/>
    </font>
    <font>
      <sz val="10"/>
      <color theme="1"/>
      <name val="Times New Roman"/>
      <charset val="1"/>
    </font>
    <font>
      <sz val="10"/>
      <color rgb="FFFF0000"/>
      <name val="Times New Roman"/>
      <charset val="1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0"/>
      <scheme val="minor"/>
    </font>
    <font>
      <b/>
      <sz val="10"/>
      <name val="宋体"/>
      <charset val="134"/>
      <scheme val="minor"/>
    </font>
    <font>
      <sz val="10"/>
      <color rgb="FFFF0000"/>
      <name val="宋体"/>
      <charset val="0"/>
      <scheme val="minor"/>
    </font>
    <font>
      <sz val="11"/>
      <name val="Times New Roman Regular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0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D9E1F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>
      <alignment vertical="center"/>
    </xf>
    <xf numFmtId="176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80" fontId="29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81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182" fontId="1" fillId="0" borderId="0" xfId="0" applyNumberFormat="1" applyFont="1" applyFill="1" applyBorder="1" applyAlignment="1">
      <alignment vertical="center"/>
    </xf>
    <xf numFmtId="182" fontId="2" fillId="0" borderId="0" xfId="0" applyNumberFormat="1" applyFont="1" applyFill="1" applyBorder="1" applyAlignment="1">
      <alignment vertical="center"/>
    </xf>
    <xf numFmtId="181" fontId="3" fillId="2" borderId="1" xfId="49" applyNumberFormat="1" applyFont="1" applyFill="1" applyBorder="1" applyAlignment="1">
      <alignment horizontal="left" vertical="center" wrapText="1"/>
    </xf>
    <xf numFmtId="49" fontId="3" fillId="2" borderId="1" xfId="49" applyNumberFormat="1" applyFont="1" applyFill="1" applyBorder="1" applyAlignment="1">
      <alignment horizontal="center" vertical="center" wrapText="1"/>
    </xf>
    <xf numFmtId="181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shrinkToFit="1"/>
    </xf>
    <xf numFmtId="182" fontId="6" fillId="3" borderId="2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vertical="center" shrinkToFit="1"/>
    </xf>
    <xf numFmtId="182" fontId="6" fillId="3" borderId="4" xfId="0" applyNumberFormat="1" applyFont="1" applyFill="1" applyBorder="1" applyAlignment="1">
      <alignment horizontal="right" vertical="center"/>
    </xf>
    <xf numFmtId="49" fontId="5" fillId="0" borderId="3" xfId="0" applyNumberFormat="1" applyFont="1" applyBorder="1" applyAlignment="1">
      <alignment vertical="center" shrinkToFit="1"/>
    </xf>
    <xf numFmtId="182" fontId="6" fillId="0" borderId="4" xfId="0" applyNumberFormat="1" applyFont="1" applyBorder="1" applyAlignment="1">
      <alignment horizontal="right" vertical="center"/>
    </xf>
    <xf numFmtId="182" fontId="2" fillId="4" borderId="1" xfId="50" applyNumberFormat="1" applyFont="1" applyFill="1" applyBorder="1" applyAlignment="1">
      <alignment horizontal="right" vertical="center" wrapText="1"/>
    </xf>
    <xf numFmtId="49" fontId="7" fillId="0" borderId="3" xfId="0" applyNumberFormat="1" applyFont="1" applyBorder="1" applyAlignment="1">
      <alignment vertical="center" shrinkToFit="1"/>
    </xf>
    <xf numFmtId="182" fontId="8" fillId="0" borderId="4" xfId="0" applyNumberFormat="1" applyFont="1" applyBorder="1" applyAlignment="1">
      <alignment horizontal="right" vertical="center"/>
    </xf>
    <xf numFmtId="0" fontId="5" fillId="0" borderId="3" xfId="0" applyFont="1" applyBorder="1">
      <alignment vertical="center"/>
    </xf>
    <xf numFmtId="176" fontId="9" fillId="0" borderId="4" xfId="0" applyNumberFormat="1" applyFont="1" applyBorder="1" applyAlignment="1">
      <alignment horizontal="right" vertical="center"/>
    </xf>
    <xf numFmtId="0" fontId="7" fillId="0" borderId="3" xfId="0" applyFont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182" fontId="1" fillId="0" borderId="1" xfId="0" applyNumberFormat="1" applyFont="1" applyFill="1" applyBorder="1" applyAlignment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 3_北京分公司6月份收支报表" xfId="49"/>
    <cellStyle name="千位分隔_资金收支表_7_资金收支情况表 (2)" xfId="50"/>
    <cellStyle name="常规_Sheet1 2 2" xfId="51"/>
    <cellStyle name="常规_2011年十六化建清欠12月报表" xfId="52"/>
    <cellStyle name="千位分隔_资金收支表_6_资金收支情况表 (2)" xfId="53"/>
    <cellStyle name="千位分隔_资金收支表_11_资金收支情况表 (2)" xfId="54"/>
    <cellStyle name="千位分隔 9_资金收支情况表 (2)_1" xfId="5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8"/>
  <sheetViews>
    <sheetView showGridLines="0" tabSelected="1" workbookViewId="0">
      <pane xSplit="1" ySplit="1" topLeftCell="M10" activePane="bottomRight" state="frozen"/>
      <selection/>
      <selection pane="topRight"/>
      <selection pane="bottomLeft"/>
      <selection pane="bottomRight" activeCell="O24" sqref="O24"/>
    </sheetView>
  </sheetViews>
  <sheetFormatPr defaultColWidth="9.73076923076923" defaultRowHeight="15.2"/>
  <cols>
    <col min="1" max="1" width="17.4615384615385" style="3" customWidth="1"/>
    <col min="2" max="2" width="13.9230769230769" style="4" customWidth="1"/>
    <col min="3" max="3" width="12.9711538461538" style="4" customWidth="1"/>
    <col min="4" max="4" width="14.8461538461538" style="4" customWidth="1"/>
    <col min="5" max="5" width="15.0769230769231" style="4" customWidth="1"/>
    <col min="6" max="18" width="14.8942307692308" style="4" customWidth="1"/>
    <col min="19" max="19" width="15.0769230769231" style="5" customWidth="1"/>
    <col min="20" max="20" width="9.73076923076923" style="2"/>
    <col min="21" max="21" width="10.6923076923077" style="2"/>
    <col min="22" max="16384" width="9.73076923076923" style="2"/>
  </cols>
  <sheetData>
    <row r="1" s="1" customFormat="1" ht="16" spans="1:19">
      <c r="A1" s="6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8" t="s">
        <v>17</v>
      </c>
    </row>
    <row r="2" s="1" customFormat="1" spans="1:19">
      <c r="A2" s="9" t="s">
        <v>18</v>
      </c>
      <c r="B2" s="10">
        <v>3331539</v>
      </c>
      <c r="C2" s="10">
        <v>3331539</v>
      </c>
      <c r="D2" s="10">
        <v>82888</v>
      </c>
      <c r="E2" s="10">
        <v>10000000</v>
      </c>
      <c r="F2" s="10">
        <v>9630204.89</v>
      </c>
      <c r="G2" s="10">
        <v>45819360.65</v>
      </c>
      <c r="H2" s="10">
        <v>850371.8</v>
      </c>
      <c r="I2" s="10">
        <v>42145778.99</v>
      </c>
      <c r="J2" s="10">
        <v>2000000</v>
      </c>
      <c r="K2" s="10" t="s">
        <v>19</v>
      </c>
      <c r="L2" s="10">
        <v>20072725.63</v>
      </c>
      <c r="M2" s="10">
        <v>12039710.97</v>
      </c>
      <c r="N2" s="10">
        <v>14166104.56</v>
      </c>
      <c r="O2" s="10">
        <v>218395298.24</v>
      </c>
      <c r="P2" s="10"/>
      <c r="Q2" s="10"/>
      <c r="R2" s="10">
        <v>3011902.56</v>
      </c>
      <c r="S2" s="10">
        <f>SUM(B2:R2)</f>
        <v>384877424.29</v>
      </c>
    </row>
    <row r="3" s="2" customFormat="1" spans="1:19">
      <c r="A3" s="11" t="s">
        <v>20</v>
      </c>
      <c r="B3" s="12" t="s">
        <v>19</v>
      </c>
      <c r="C3" s="12" t="s">
        <v>19</v>
      </c>
      <c r="D3" s="12">
        <v>1503143.52</v>
      </c>
      <c r="E3" s="12">
        <v>165168.9</v>
      </c>
      <c r="F3" s="12">
        <v>357372.05</v>
      </c>
      <c r="G3" s="12">
        <v>451046.63</v>
      </c>
      <c r="H3" s="12" t="s">
        <v>19</v>
      </c>
      <c r="I3" s="12">
        <v>55715.5</v>
      </c>
      <c r="J3" s="12">
        <v>44567.03</v>
      </c>
      <c r="K3" s="12">
        <v>11520.38</v>
      </c>
      <c r="L3" s="12">
        <v>989.6</v>
      </c>
      <c r="M3" s="12">
        <v>11186.9</v>
      </c>
      <c r="N3" s="12">
        <v>9661.5</v>
      </c>
      <c r="O3" s="12">
        <v>5824.87</v>
      </c>
      <c r="P3" s="12">
        <v>228319.34</v>
      </c>
      <c r="Q3" s="12">
        <v>1004228.86</v>
      </c>
      <c r="R3" s="12">
        <v>1168413.31</v>
      </c>
      <c r="S3" s="10">
        <f>SUM(B3:R3)</f>
        <v>5017158.39</v>
      </c>
    </row>
    <row r="4" s="2" customFormat="1" spans="1:19">
      <c r="A4" s="13" t="s">
        <v>21</v>
      </c>
      <c r="B4" s="14">
        <v>15031.61</v>
      </c>
      <c r="C4" s="14">
        <v>13692.17</v>
      </c>
      <c r="D4" s="14">
        <v>11759.11</v>
      </c>
      <c r="E4" s="14">
        <v>22998.98</v>
      </c>
      <c r="F4" s="14">
        <v>20290.51</v>
      </c>
      <c r="G4" s="14">
        <v>21894.86</v>
      </c>
      <c r="H4" s="14">
        <v>39871</v>
      </c>
      <c r="I4" s="14">
        <v>159874.15</v>
      </c>
      <c r="J4" s="14">
        <v>32782.69</v>
      </c>
      <c r="K4" s="14">
        <v>11816.02</v>
      </c>
      <c r="L4" s="14">
        <v>144540.54</v>
      </c>
      <c r="M4" s="14">
        <v>698273.27</v>
      </c>
      <c r="N4" s="14" t="s">
        <v>19</v>
      </c>
      <c r="O4" s="14">
        <v>612150.1</v>
      </c>
      <c r="P4" s="14">
        <v>729146.23</v>
      </c>
      <c r="Q4" s="14">
        <v>866582.65</v>
      </c>
      <c r="R4" s="14">
        <v>899743.25</v>
      </c>
      <c r="S4" s="15">
        <f>SUM(B4:R4)</f>
        <v>4300447.14</v>
      </c>
    </row>
    <row r="5" s="2" customFormat="1" spans="1:19">
      <c r="A5" s="13" t="s">
        <v>22</v>
      </c>
      <c r="B5" s="14" t="s">
        <v>19</v>
      </c>
      <c r="C5" s="14">
        <v>82888</v>
      </c>
      <c r="D5" s="14">
        <v>165168.9</v>
      </c>
      <c r="E5" s="14">
        <v>357372.05</v>
      </c>
      <c r="F5" s="14">
        <v>451046.63</v>
      </c>
      <c r="G5" s="14">
        <v>8461.5</v>
      </c>
      <c r="H5" s="14">
        <v>378691.6</v>
      </c>
      <c r="I5" s="14">
        <v>50719.55</v>
      </c>
      <c r="J5" s="14">
        <v>1347097.96</v>
      </c>
      <c r="K5" s="14">
        <v>281550.44</v>
      </c>
      <c r="L5" s="14">
        <v>50092.19</v>
      </c>
      <c r="M5" s="14">
        <v>1794175.06</v>
      </c>
      <c r="N5" s="14">
        <v>57101.95</v>
      </c>
      <c r="O5" s="14">
        <v>916450.54</v>
      </c>
      <c r="P5" s="14">
        <v>510102.79</v>
      </c>
      <c r="Q5" s="14">
        <v>45324</v>
      </c>
      <c r="R5" s="14">
        <v>1379711.77</v>
      </c>
      <c r="S5" s="15">
        <f t="shared" ref="S5:S44" si="0">SUM(B5:R5)</f>
        <v>7875954.93</v>
      </c>
    </row>
    <row r="6" s="2" customFormat="1" spans="1:19">
      <c r="A6" s="13" t="s">
        <v>23</v>
      </c>
      <c r="B6" s="14">
        <v>8352.6</v>
      </c>
      <c r="C6" s="14">
        <v>34107.35</v>
      </c>
      <c r="D6" s="14">
        <v>56290.89</v>
      </c>
      <c r="E6" s="14">
        <v>179109.64</v>
      </c>
      <c r="F6" s="14">
        <v>335301.41</v>
      </c>
      <c r="G6" s="14">
        <v>453769.06</v>
      </c>
      <c r="H6" s="14">
        <v>443337.23</v>
      </c>
      <c r="I6" s="14">
        <v>569234.42</v>
      </c>
      <c r="J6" s="14">
        <v>773427</v>
      </c>
      <c r="K6" s="14">
        <v>1020442.41</v>
      </c>
      <c r="L6" s="14">
        <v>1339138.37</v>
      </c>
      <c r="M6" s="14">
        <v>1581952.5</v>
      </c>
      <c r="N6" s="14">
        <v>2120663.16</v>
      </c>
      <c r="O6" s="14">
        <v>1568102.37</v>
      </c>
      <c r="P6" s="14">
        <v>887557.82</v>
      </c>
      <c r="Q6" s="14">
        <v>1305907.42</v>
      </c>
      <c r="R6" s="14">
        <v>1651280.28</v>
      </c>
      <c r="S6" s="15">
        <f t="shared" si="0"/>
        <v>14327973.93</v>
      </c>
    </row>
    <row r="7" s="2" customFormat="1" spans="1:19">
      <c r="A7" s="13" t="s">
        <v>24</v>
      </c>
      <c r="B7" s="14" t="s">
        <v>19</v>
      </c>
      <c r="C7" s="14" t="s">
        <v>19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81625.43</v>
      </c>
      <c r="J7" s="14">
        <v>447401.96</v>
      </c>
      <c r="K7" s="14">
        <v>395637.3</v>
      </c>
      <c r="L7" s="14">
        <v>291368.61</v>
      </c>
      <c r="M7" s="14">
        <v>255538.14</v>
      </c>
      <c r="N7" s="14">
        <v>1032241.04</v>
      </c>
      <c r="O7" s="14">
        <v>189159.1</v>
      </c>
      <c r="P7" s="14">
        <v>123864.2</v>
      </c>
      <c r="Q7" s="14">
        <v>515400.08</v>
      </c>
      <c r="R7" s="14">
        <v>541336.21</v>
      </c>
      <c r="S7" s="15">
        <f t="shared" si="0"/>
        <v>3873572.07</v>
      </c>
    </row>
    <row r="8" s="2" customFormat="1" spans="1:19">
      <c r="A8" s="16" t="s">
        <v>25</v>
      </c>
      <c r="B8" s="14" t="s">
        <v>19</v>
      </c>
      <c r="C8" s="14">
        <v>1821.06</v>
      </c>
      <c r="D8" s="14">
        <v>8532.59</v>
      </c>
      <c r="E8" s="14">
        <v>341.83</v>
      </c>
      <c r="F8" s="14">
        <v>11960.57</v>
      </c>
      <c r="G8" s="14">
        <v>0</v>
      </c>
      <c r="H8" s="14">
        <v>22456.14</v>
      </c>
      <c r="I8" s="14">
        <v>49829.33</v>
      </c>
      <c r="J8" s="14">
        <v>39347.1</v>
      </c>
      <c r="K8" s="14">
        <v>125384.9</v>
      </c>
      <c r="L8" s="14">
        <v>2682.94</v>
      </c>
      <c r="M8" s="14">
        <v>29820.73</v>
      </c>
      <c r="N8" s="14">
        <v>14644.08</v>
      </c>
      <c r="O8" s="14">
        <v>37764.74</v>
      </c>
      <c r="P8" s="14"/>
      <c r="Q8" s="14">
        <v>37050.58</v>
      </c>
      <c r="R8" s="14"/>
      <c r="S8" s="15">
        <f t="shared" si="0"/>
        <v>381636.59</v>
      </c>
    </row>
    <row r="9" s="2" customFormat="1" spans="1:19">
      <c r="A9" s="16" t="s">
        <v>26</v>
      </c>
      <c r="B9" s="14" t="s">
        <v>19</v>
      </c>
      <c r="C9" s="14">
        <v>9492.22</v>
      </c>
      <c r="D9" s="14">
        <v>12381.33</v>
      </c>
      <c r="E9" s="14">
        <v>6267.53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 t="s">
        <v>19</v>
      </c>
      <c r="O9" s="14" t="s">
        <v>19</v>
      </c>
      <c r="P9" s="14"/>
      <c r="Q9" s="14">
        <v>1446.06</v>
      </c>
      <c r="R9" s="14"/>
      <c r="S9" s="15">
        <f t="shared" si="0"/>
        <v>29587.14</v>
      </c>
    </row>
    <row r="10" s="2" customFormat="1" spans="1:19">
      <c r="A10" s="16" t="s">
        <v>27</v>
      </c>
      <c r="B10" s="14" t="s">
        <v>19</v>
      </c>
      <c r="C10" s="14">
        <v>23802.48</v>
      </c>
      <c r="D10" s="14">
        <v>35027.77</v>
      </c>
      <c r="E10" s="14">
        <v>46400.55</v>
      </c>
      <c r="F10" s="14">
        <v>23120.9</v>
      </c>
      <c r="G10" s="14">
        <v>0</v>
      </c>
      <c r="H10" s="14">
        <v>0</v>
      </c>
      <c r="I10" s="14">
        <v>67436.89</v>
      </c>
      <c r="J10" s="14">
        <v>5477.91</v>
      </c>
      <c r="K10" s="14">
        <v>0</v>
      </c>
      <c r="L10" s="14">
        <v>0</v>
      </c>
      <c r="M10" s="14">
        <v>0</v>
      </c>
      <c r="N10" s="14">
        <v>2354.98</v>
      </c>
      <c r="O10" s="14" t="s">
        <v>19</v>
      </c>
      <c r="P10" s="14"/>
      <c r="Q10" s="14"/>
      <c r="R10" s="14"/>
      <c r="S10" s="15">
        <f t="shared" si="0"/>
        <v>203621.48</v>
      </c>
    </row>
    <row r="11" s="2" customFormat="1" spans="1:19">
      <c r="A11" s="16" t="s">
        <v>28</v>
      </c>
      <c r="B11" s="14" t="s">
        <v>19</v>
      </c>
      <c r="C11" s="14" t="s">
        <v>19</v>
      </c>
      <c r="D11" s="14">
        <v>1180.55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7" t="s">
        <v>19</v>
      </c>
      <c r="O11" s="17" t="s">
        <v>19</v>
      </c>
      <c r="P11" s="17"/>
      <c r="Q11" s="17"/>
      <c r="R11" s="17"/>
      <c r="S11" s="15">
        <f t="shared" si="0"/>
        <v>1180.55</v>
      </c>
    </row>
    <row r="12" s="2" customFormat="1" spans="1:19">
      <c r="A12" s="16" t="s">
        <v>29</v>
      </c>
      <c r="B12" s="14" t="s">
        <v>19</v>
      </c>
      <c r="C12" s="14" t="s">
        <v>19</v>
      </c>
      <c r="D12" s="14">
        <v>0</v>
      </c>
      <c r="E12" s="14">
        <v>0</v>
      </c>
      <c r="F12" s="14">
        <v>623.25</v>
      </c>
      <c r="G12" s="14">
        <v>0</v>
      </c>
      <c r="H12" s="14">
        <v>0</v>
      </c>
      <c r="I12" s="14">
        <v>2327.5</v>
      </c>
      <c r="J12" s="14">
        <v>0</v>
      </c>
      <c r="K12" s="14">
        <v>3267.84</v>
      </c>
      <c r="L12" s="14">
        <v>0</v>
      </c>
      <c r="M12" s="14">
        <v>0</v>
      </c>
      <c r="N12" s="14">
        <v>1918.08</v>
      </c>
      <c r="O12" s="14">
        <v>454</v>
      </c>
      <c r="P12" s="14"/>
      <c r="Q12" s="14">
        <v>2857.52</v>
      </c>
      <c r="R12" s="14"/>
      <c r="S12" s="15">
        <f t="shared" si="0"/>
        <v>11448.19</v>
      </c>
    </row>
    <row r="13" s="2" customFormat="1" spans="1:19">
      <c r="A13" s="16" t="s">
        <v>30</v>
      </c>
      <c r="B13" s="14" t="s">
        <v>19</v>
      </c>
      <c r="C13" s="14" t="s">
        <v>19</v>
      </c>
      <c r="D13" s="14" t="s">
        <v>19</v>
      </c>
      <c r="E13" s="14" t="s">
        <v>19</v>
      </c>
      <c r="F13" s="14" t="s">
        <v>19</v>
      </c>
      <c r="G13" s="14" t="s">
        <v>19</v>
      </c>
      <c r="H13" s="14" t="s">
        <v>19</v>
      </c>
      <c r="I13" s="14" t="s">
        <v>19</v>
      </c>
      <c r="J13" s="14" t="s">
        <v>19</v>
      </c>
      <c r="K13" s="14">
        <v>8848.88</v>
      </c>
      <c r="L13" s="14">
        <v>23034.98</v>
      </c>
      <c r="M13" s="14">
        <v>16554.34</v>
      </c>
      <c r="N13" s="14">
        <v>12324.37</v>
      </c>
      <c r="O13" s="14">
        <v>1148.71</v>
      </c>
      <c r="P13" s="14"/>
      <c r="Q13" s="14">
        <v>8263.75</v>
      </c>
      <c r="R13" s="14"/>
      <c r="S13" s="15">
        <f t="shared" si="0"/>
        <v>70175.03</v>
      </c>
    </row>
    <row r="14" s="2" customFormat="1" spans="1:19">
      <c r="A14" s="16" t="s">
        <v>31</v>
      </c>
      <c r="B14" s="14" t="s">
        <v>19</v>
      </c>
      <c r="C14" s="14" t="s">
        <v>19</v>
      </c>
      <c r="D14" s="14">
        <v>3305</v>
      </c>
      <c r="E14" s="14">
        <v>52.1</v>
      </c>
      <c r="F14" s="14">
        <v>42.38</v>
      </c>
      <c r="G14" s="14">
        <v>0</v>
      </c>
      <c r="H14" s="14">
        <v>17720</v>
      </c>
      <c r="I14" s="14">
        <v>0</v>
      </c>
      <c r="J14" s="14">
        <v>45650</v>
      </c>
      <c r="K14" s="14">
        <v>0</v>
      </c>
      <c r="L14" s="14">
        <v>0</v>
      </c>
      <c r="M14" s="14">
        <v>0</v>
      </c>
      <c r="N14" s="14">
        <v>4440</v>
      </c>
      <c r="O14" s="14" t="s">
        <v>19</v>
      </c>
      <c r="P14" s="14"/>
      <c r="Q14" s="14"/>
      <c r="R14" s="14"/>
      <c r="S14" s="15">
        <f t="shared" si="0"/>
        <v>71209.48</v>
      </c>
    </row>
    <row r="15" s="2" customFormat="1" spans="1:19">
      <c r="A15" s="16" t="s">
        <v>32</v>
      </c>
      <c r="B15" s="14" t="s">
        <v>19</v>
      </c>
      <c r="C15" s="14">
        <v>9200.62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6938.07</v>
      </c>
      <c r="J15" s="14">
        <v>9130</v>
      </c>
      <c r="K15" s="14">
        <v>19094.66</v>
      </c>
      <c r="L15" s="14">
        <v>442</v>
      </c>
      <c r="M15" s="14">
        <v>41491.03</v>
      </c>
      <c r="N15" s="14">
        <v>44998.36</v>
      </c>
      <c r="O15" s="14">
        <v>41870.51</v>
      </c>
      <c r="P15" s="14"/>
      <c r="Q15" s="14"/>
      <c r="R15" s="14"/>
      <c r="S15" s="15">
        <f t="shared" si="0"/>
        <v>173165.25</v>
      </c>
    </row>
    <row r="16" s="2" customFormat="1" spans="1:19">
      <c r="A16" s="16" t="s">
        <v>33</v>
      </c>
      <c r="B16" s="14" t="s">
        <v>19</v>
      </c>
      <c r="C16" s="14" t="s">
        <v>19</v>
      </c>
      <c r="D16" s="14">
        <v>921.3</v>
      </c>
      <c r="E16" s="14">
        <v>0</v>
      </c>
      <c r="F16" s="14">
        <v>2206.37</v>
      </c>
      <c r="G16" s="14">
        <v>0</v>
      </c>
      <c r="H16" s="14">
        <v>0</v>
      </c>
      <c r="I16" s="14">
        <v>0</v>
      </c>
      <c r="J16" s="14">
        <v>7403.01</v>
      </c>
      <c r="K16" s="14">
        <v>1161.77</v>
      </c>
      <c r="L16" s="14">
        <v>5746.79</v>
      </c>
      <c r="M16" s="14">
        <v>0</v>
      </c>
      <c r="N16" s="14" t="s">
        <v>19</v>
      </c>
      <c r="O16" s="14" t="s">
        <v>19</v>
      </c>
      <c r="P16" s="14"/>
      <c r="Q16" s="14"/>
      <c r="R16" s="14"/>
      <c r="S16" s="15">
        <f t="shared" si="0"/>
        <v>17439.24</v>
      </c>
    </row>
    <row r="17" s="2" customFormat="1" spans="1:19">
      <c r="A17" s="16" t="s">
        <v>34</v>
      </c>
      <c r="B17" s="14" t="s">
        <v>19</v>
      </c>
      <c r="C17" s="14" t="s">
        <v>19</v>
      </c>
      <c r="D17" s="14">
        <v>0</v>
      </c>
      <c r="E17" s="14">
        <v>0</v>
      </c>
      <c r="F17" s="14">
        <v>7124.99</v>
      </c>
      <c r="G17" s="14">
        <v>0</v>
      </c>
      <c r="H17" s="14">
        <v>0</v>
      </c>
      <c r="I17" s="14">
        <v>6122.26</v>
      </c>
      <c r="J17" s="14">
        <v>0</v>
      </c>
      <c r="K17" s="14">
        <v>11135.52</v>
      </c>
      <c r="L17" s="14">
        <v>0</v>
      </c>
      <c r="M17" s="14">
        <v>155698.15</v>
      </c>
      <c r="N17" s="14" t="s">
        <v>19</v>
      </c>
      <c r="O17" s="14" t="s">
        <v>19</v>
      </c>
      <c r="P17" s="14"/>
      <c r="Q17" s="14"/>
      <c r="R17" s="14"/>
      <c r="S17" s="15">
        <f t="shared" si="0"/>
        <v>180080.92</v>
      </c>
    </row>
    <row r="18" s="2" customFormat="1" spans="1:19">
      <c r="A18" s="16" t="s">
        <v>35</v>
      </c>
      <c r="B18" s="14">
        <v>132.27</v>
      </c>
      <c r="C18" s="14">
        <v>195.79</v>
      </c>
      <c r="D18" s="14">
        <v>0</v>
      </c>
      <c r="E18" s="14">
        <v>94.22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509.8</v>
      </c>
      <c r="L18" s="14">
        <v>0</v>
      </c>
      <c r="M18" s="14">
        <v>231.06</v>
      </c>
      <c r="N18" s="14" t="s">
        <v>19</v>
      </c>
      <c r="O18" s="14" t="s">
        <v>19</v>
      </c>
      <c r="P18" s="14"/>
      <c r="Q18" s="14"/>
      <c r="R18" s="14"/>
      <c r="S18" s="15">
        <f t="shared" si="0"/>
        <v>1163.14</v>
      </c>
    </row>
    <row r="19" s="2" customFormat="1" spans="1:19">
      <c r="A19" s="16" t="s">
        <v>36</v>
      </c>
      <c r="B19" s="14" t="s">
        <v>19</v>
      </c>
      <c r="C19" s="14">
        <v>2974.5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6050.22</v>
      </c>
      <c r="J19" s="14">
        <v>7212.7</v>
      </c>
      <c r="K19" s="14">
        <v>3548.45</v>
      </c>
      <c r="L19" s="14">
        <v>0</v>
      </c>
      <c r="M19" s="14">
        <v>0</v>
      </c>
      <c r="N19" s="14" t="s">
        <v>19</v>
      </c>
      <c r="O19" s="14" t="s">
        <v>19</v>
      </c>
      <c r="P19" s="14"/>
      <c r="Q19" s="14"/>
      <c r="R19" s="14"/>
      <c r="S19" s="15">
        <f t="shared" si="0"/>
        <v>19785.87</v>
      </c>
    </row>
    <row r="20" s="2" customFormat="1" spans="1:19">
      <c r="A20" s="16" t="s">
        <v>37</v>
      </c>
      <c r="B20" s="14" t="s">
        <v>19</v>
      </c>
      <c r="C20" s="14">
        <v>8725.2</v>
      </c>
      <c r="D20" s="14">
        <v>0</v>
      </c>
      <c r="E20" s="14">
        <v>0</v>
      </c>
      <c r="F20" s="14">
        <v>0</v>
      </c>
      <c r="G20" s="14">
        <v>0</v>
      </c>
      <c r="H20" s="14">
        <v>1329</v>
      </c>
      <c r="I20" s="14">
        <v>1117.2</v>
      </c>
      <c r="J20" s="14">
        <v>1095.6</v>
      </c>
      <c r="K20" s="14">
        <v>0</v>
      </c>
      <c r="L20" s="14">
        <v>1060.8</v>
      </c>
      <c r="M20" s="14">
        <v>1029.6</v>
      </c>
      <c r="N20" s="14" t="s">
        <v>19</v>
      </c>
      <c r="O20" s="14" t="s">
        <v>19</v>
      </c>
      <c r="P20" s="14"/>
      <c r="Q20" s="14"/>
      <c r="R20" s="14"/>
      <c r="S20" s="15">
        <f t="shared" si="0"/>
        <v>14357.4</v>
      </c>
    </row>
    <row r="21" s="2" customFormat="1" spans="1:19">
      <c r="A21" s="16" t="s">
        <v>38</v>
      </c>
      <c r="B21" s="14">
        <v>198.3</v>
      </c>
      <c r="C21" s="14">
        <v>2623.05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 t="s">
        <v>19</v>
      </c>
      <c r="O21" s="14" t="s">
        <v>19</v>
      </c>
      <c r="P21" s="14"/>
      <c r="Q21" s="14"/>
      <c r="R21" s="14"/>
      <c r="S21" s="15">
        <f t="shared" si="0"/>
        <v>2821.35</v>
      </c>
    </row>
    <row r="22" s="2" customFormat="1" spans="1:19">
      <c r="A22" s="16" t="s">
        <v>39</v>
      </c>
      <c r="B22" s="14" t="s">
        <v>19</v>
      </c>
      <c r="C22" s="14">
        <v>1725.21</v>
      </c>
      <c r="D22" s="14">
        <v>1189.14</v>
      </c>
      <c r="E22" s="14">
        <v>2052.16</v>
      </c>
      <c r="F22" s="14">
        <v>0</v>
      </c>
      <c r="G22" s="14">
        <v>0</v>
      </c>
      <c r="H22" s="14">
        <v>2198.34</v>
      </c>
      <c r="I22" s="14">
        <v>3477.73</v>
      </c>
      <c r="J22" s="14">
        <v>3717.12</v>
      </c>
      <c r="K22" s="14">
        <v>3658.2</v>
      </c>
      <c r="L22" s="14">
        <v>0</v>
      </c>
      <c r="M22" s="14">
        <v>3333.84</v>
      </c>
      <c r="N22" s="14">
        <v>3899.39</v>
      </c>
      <c r="O22" s="14" t="s">
        <v>19</v>
      </c>
      <c r="P22" s="14" t="s">
        <v>19</v>
      </c>
      <c r="Q22" s="14" t="s">
        <v>19</v>
      </c>
      <c r="R22" s="14" t="s">
        <v>19</v>
      </c>
      <c r="S22" s="15">
        <f t="shared" si="0"/>
        <v>25251.13</v>
      </c>
    </row>
    <row r="23" s="2" customFormat="1" spans="1:19">
      <c r="A23" s="16" t="s">
        <v>40</v>
      </c>
      <c r="B23" s="14" t="s">
        <v>19</v>
      </c>
      <c r="C23" s="14">
        <v>2801.78</v>
      </c>
      <c r="D23" s="14">
        <v>0</v>
      </c>
      <c r="E23" s="14">
        <v>1162.45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 t="s">
        <v>19</v>
      </c>
      <c r="O23" s="14" t="s">
        <v>19</v>
      </c>
      <c r="P23" s="14" t="s">
        <v>19</v>
      </c>
      <c r="Q23" s="14">
        <v>334500</v>
      </c>
      <c r="R23" s="14" t="s">
        <v>19</v>
      </c>
      <c r="S23" s="15">
        <f t="shared" si="0"/>
        <v>338464.23</v>
      </c>
    </row>
    <row r="24" s="2" customFormat="1" spans="1:19">
      <c r="A24" s="16" t="s">
        <v>41</v>
      </c>
      <c r="B24" s="14" t="s">
        <v>19</v>
      </c>
      <c r="C24" s="14">
        <v>4062.77</v>
      </c>
      <c r="D24" s="14">
        <v>396.6</v>
      </c>
      <c r="E24" s="14">
        <v>787.04</v>
      </c>
      <c r="F24" s="14">
        <v>0</v>
      </c>
      <c r="G24" s="14">
        <v>0</v>
      </c>
      <c r="H24" s="14">
        <v>0</v>
      </c>
      <c r="I24" s="14">
        <v>172.24</v>
      </c>
      <c r="J24" s="14">
        <v>2017.73</v>
      </c>
      <c r="K24" s="14">
        <v>0</v>
      </c>
      <c r="L24" s="14">
        <v>1149.2</v>
      </c>
      <c r="M24" s="14">
        <v>127.84</v>
      </c>
      <c r="N24" s="14">
        <v>6632.65</v>
      </c>
      <c r="O24" s="14" t="s">
        <v>19</v>
      </c>
      <c r="P24" s="14" t="s">
        <v>19</v>
      </c>
      <c r="Q24" s="14" t="s">
        <v>19</v>
      </c>
      <c r="R24" s="14" t="s">
        <v>19</v>
      </c>
      <c r="S24" s="15">
        <f t="shared" si="0"/>
        <v>15346.07</v>
      </c>
    </row>
    <row r="25" s="2" customFormat="1" spans="1:19">
      <c r="A25" s="16" t="s">
        <v>42</v>
      </c>
      <c r="B25" s="14" t="s">
        <v>19</v>
      </c>
      <c r="C25" s="14" t="s">
        <v>19</v>
      </c>
      <c r="D25" s="14" t="s">
        <v>19</v>
      </c>
      <c r="E25" s="14" t="s">
        <v>19</v>
      </c>
      <c r="F25" s="14" t="s">
        <v>19</v>
      </c>
      <c r="G25" s="14" t="s">
        <v>19</v>
      </c>
      <c r="H25" s="14">
        <v>0</v>
      </c>
      <c r="I25" s="14">
        <v>0</v>
      </c>
      <c r="J25" s="14">
        <v>0</v>
      </c>
      <c r="K25" s="14">
        <v>78800</v>
      </c>
      <c r="L25" s="14">
        <v>0</v>
      </c>
      <c r="M25" s="14">
        <v>0</v>
      </c>
      <c r="N25" s="14" t="s">
        <v>19</v>
      </c>
      <c r="O25" s="14" t="s">
        <v>19</v>
      </c>
      <c r="P25" s="14" t="s">
        <v>19</v>
      </c>
      <c r="Q25" s="14" t="s">
        <v>19</v>
      </c>
      <c r="R25" s="14" t="s">
        <v>19</v>
      </c>
      <c r="S25" s="15">
        <f t="shared" si="0"/>
        <v>78800</v>
      </c>
    </row>
    <row r="26" s="2" customFormat="1" spans="1:19">
      <c r="A26" s="16" t="s">
        <v>43</v>
      </c>
      <c r="B26" s="14" t="s">
        <v>19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30232.8</v>
      </c>
      <c r="M26" s="14">
        <v>249016.83</v>
      </c>
      <c r="N26" s="14">
        <v>73908.99</v>
      </c>
      <c r="O26" s="14">
        <v>273498.04</v>
      </c>
      <c r="P26" s="14"/>
      <c r="Q26" s="14">
        <v>936453.95</v>
      </c>
      <c r="R26" s="14"/>
      <c r="S26" s="15">
        <f t="shared" si="0"/>
        <v>1563110.61</v>
      </c>
    </row>
    <row r="27" s="2" customFormat="1" spans="1:19">
      <c r="A27" s="16" t="s">
        <v>44</v>
      </c>
      <c r="B27" s="14" t="s">
        <v>19</v>
      </c>
      <c r="C27" s="14">
        <v>0</v>
      </c>
      <c r="D27" s="14">
        <v>0</v>
      </c>
      <c r="E27" s="14">
        <v>0</v>
      </c>
      <c r="F27" s="14">
        <v>12028.73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 t="s">
        <v>19</v>
      </c>
      <c r="O27" s="14" t="s">
        <v>19</v>
      </c>
      <c r="P27" s="14"/>
      <c r="Q27" s="14"/>
      <c r="R27" s="14"/>
      <c r="S27" s="15">
        <f t="shared" si="0"/>
        <v>12028.73</v>
      </c>
    </row>
    <row r="28" s="2" customFormat="1" spans="1:19">
      <c r="A28" s="16" t="s">
        <v>45</v>
      </c>
      <c r="B28" s="14" t="s">
        <v>19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38966.84</v>
      </c>
      <c r="K28" s="14">
        <v>201673.68</v>
      </c>
      <c r="L28" s="14">
        <v>101412.48</v>
      </c>
      <c r="M28" s="14">
        <v>0</v>
      </c>
      <c r="N28" s="14" t="s">
        <v>19</v>
      </c>
      <c r="O28" s="14" t="s">
        <v>19</v>
      </c>
      <c r="P28" s="14"/>
      <c r="Q28" s="14"/>
      <c r="R28" s="14"/>
      <c r="S28" s="15">
        <f t="shared" si="0"/>
        <v>342053</v>
      </c>
    </row>
    <row r="29" s="2" customFormat="1" spans="1:19">
      <c r="A29" s="16" t="s">
        <v>46</v>
      </c>
      <c r="B29" s="14" t="s">
        <v>19</v>
      </c>
      <c r="C29" s="14">
        <v>0</v>
      </c>
      <c r="D29" s="14">
        <v>0</v>
      </c>
      <c r="E29" s="14">
        <v>0</v>
      </c>
      <c r="F29" s="14">
        <v>0</v>
      </c>
      <c r="G29" s="14">
        <v>1047.03</v>
      </c>
      <c r="H29" s="14">
        <v>4780.33</v>
      </c>
      <c r="I29" s="14">
        <v>3372.08</v>
      </c>
      <c r="J29" s="14">
        <v>1875.3</v>
      </c>
      <c r="K29" s="14">
        <v>60561.6</v>
      </c>
      <c r="L29" s="14">
        <v>9724</v>
      </c>
      <c r="M29" s="14">
        <v>9992.49</v>
      </c>
      <c r="N29" s="14">
        <v>56282.05</v>
      </c>
      <c r="O29" s="14">
        <v>21075.68</v>
      </c>
      <c r="P29" s="14">
        <v>825254.56</v>
      </c>
      <c r="Q29" s="14">
        <v>217002.66</v>
      </c>
      <c r="R29" s="14">
        <v>45343.99</v>
      </c>
      <c r="S29" s="15">
        <f t="shared" si="0"/>
        <v>1256311.77</v>
      </c>
    </row>
    <row r="30" s="2" customFormat="1" spans="1:19">
      <c r="A30" s="16" t="s">
        <v>47</v>
      </c>
      <c r="B30" s="14">
        <v>168.56</v>
      </c>
      <c r="C30" s="14">
        <v>280.93</v>
      </c>
      <c r="D30" s="14">
        <v>439.57</v>
      </c>
      <c r="E30" s="14">
        <v>1197.18</v>
      </c>
      <c r="F30" s="14">
        <v>1504.11</v>
      </c>
      <c r="G30" s="14">
        <v>2723.61</v>
      </c>
      <c r="H30" s="14">
        <v>7505.5</v>
      </c>
      <c r="I30" s="14">
        <v>7510.35</v>
      </c>
      <c r="J30" s="14">
        <v>9415.26</v>
      </c>
      <c r="K30" s="14">
        <v>7161.6</v>
      </c>
      <c r="L30" s="14">
        <v>5722.1</v>
      </c>
      <c r="M30" s="14">
        <v>5165.46</v>
      </c>
      <c r="N30" s="14">
        <v>1992.53</v>
      </c>
      <c r="O30" s="14">
        <v>8413.15</v>
      </c>
      <c r="P30" s="14"/>
      <c r="Q30" s="14"/>
      <c r="R30" s="14">
        <v>65991.45</v>
      </c>
      <c r="S30" s="15">
        <f t="shared" si="0"/>
        <v>125191.36</v>
      </c>
    </row>
    <row r="31" s="2" customFormat="1" spans="1:19">
      <c r="A31" s="16" t="s">
        <v>48</v>
      </c>
      <c r="B31" s="14" t="s">
        <v>19</v>
      </c>
      <c r="C31" s="14" t="s">
        <v>19</v>
      </c>
      <c r="D31" s="14">
        <v>12724.25</v>
      </c>
      <c r="E31" s="14">
        <v>591.2</v>
      </c>
      <c r="F31" s="14">
        <v>0</v>
      </c>
      <c r="G31" s="14">
        <v>0</v>
      </c>
      <c r="H31" s="14">
        <v>0</v>
      </c>
      <c r="I31" s="14">
        <v>0</v>
      </c>
      <c r="J31" s="14">
        <v>232221.37</v>
      </c>
      <c r="K31" s="14">
        <v>0</v>
      </c>
      <c r="L31" s="14">
        <v>9052.16</v>
      </c>
      <c r="M31" s="14">
        <v>0</v>
      </c>
      <c r="N31" s="14">
        <v>80837</v>
      </c>
      <c r="O31" s="14">
        <v>45777.16</v>
      </c>
      <c r="P31" s="14"/>
      <c r="Q31" s="14"/>
      <c r="R31" s="14"/>
      <c r="S31" s="15">
        <f t="shared" si="0"/>
        <v>381203.14</v>
      </c>
    </row>
    <row r="32" s="2" customFormat="1" spans="1:19">
      <c r="A32" s="16" t="s">
        <v>49</v>
      </c>
      <c r="B32" s="14">
        <v>8759.9</v>
      </c>
      <c r="C32" s="14">
        <v>9005.53</v>
      </c>
      <c r="D32" s="14">
        <v>5393.76</v>
      </c>
      <c r="E32" s="14">
        <v>62401.16</v>
      </c>
      <c r="F32" s="14">
        <v>119226.31</v>
      </c>
      <c r="G32" s="14">
        <v>38252.7</v>
      </c>
      <c r="H32" s="14">
        <v>784298.43</v>
      </c>
      <c r="I32" s="14">
        <v>105561.58</v>
      </c>
      <c r="J32" s="14">
        <v>981821.21</v>
      </c>
      <c r="K32" s="14">
        <v>143856</v>
      </c>
      <c r="L32" s="14">
        <v>546048.92</v>
      </c>
      <c r="M32" s="14">
        <v>797732.71</v>
      </c>
      <c r="N32" s="14">
        <v>235276.56</v>
      </c>
      <c r="O32" s="14">
        <v>385736.56</v>
      </c>
      <c r="P32" s="14"/>
      <c r="Q32" s="14">
        <v>323400</v>
      </c>
      <c r="R32" s="14">
        <v>93448.08</v>
      </c>
      <c r="S32" s="15">
        <f t="shared" si="0"/>
        <v>4640219.41</v>
      </c>
    </row>
    <row r="33" s="2" customFormat="1" spans="1:19">
      <c r="A33" s="16" t="s">
        <v>50</v>
      </c>
      <c r="B33" s="14" t="s">
        <v>19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63910</v>
      </c>
      <c r="K33" s="14">
        <v>90886.8</v>
      </c>
      <c r="L33" s="14">
        <v>142012.39</v>
      </c>
      <c r="M33" s="14">
        <v>319853.82</v>
      </c>
      <c r="N33" s="14">
        <v>2664</v>
      </c>
      <c r="O33" s="14">
        <v>186934.5</v>
      </c>
      <c r="P33" s="14">
        <v>210709.08</v>
      </c>
      <c r="Q33" s="14"/>
      <c r="R33" s="14"/>
      <c r="S33" s="15">
        <f t="shared" si="0"/>
        <v>1016970.59</v>
      </c>
    </row>
    <row r="34" s="2" customFormat="1" spans="1:19">
      <c r="A34" s="16" t="s">
        <v>51</v>
      </c>
      <c r="B34" s="14" t="s">
        <v>19</v>
      </c>
      <c r="C34" s="14">
        <v>1454.2</v>
      </c>
      <c r="D34" s="14">
        <v>591661.1</v>
      </c>
      <c r="E34" s="14">
        <v>0</v>
      </c>
      <c r="F34" s="14">
        <v>0</v>
      </c>
      <c r="G34" s="14">
        <v>0</v>
      </c>
      <c r="H34" s="14">
        <v>2923.8</v>
      </c>
      <c r="I34" s="14">
        <v>1768.9</v>
      </c>
      <c r="J34" s="14">
        <v>1004.3</v>
      </c>
      <c r="K34" s="14">
        <v>0</v>
      </c>
      <c r="L34" s="14">
        <v>0</v>
      </c>
      <c r="M34" s="14">
        <v>0</v>
      </c>
      <c r="N34" s="14">
        <v>13320</v>
      </c>
      <c r="O34" s="14" t="s">
        <v>19</v>
      </c>
      <c r="P34" s="14"/>
      <c r="Q34" s="14">
        <v>284314.8</v>
      </c>
      <c r="R34" s="14"/>
      <c r="S34" s="15">
        <f t="shared" si="0"/>
        <v>896447.1</v>
      </c>
    </row>
    <row r="35" s="2" customFormat="1" spans="1:19">
      <c r="A35" s="16" t="s">
        <v>42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>
        <v>185248.34</v>
      </c>
      <c r="S35" s="15">
        <f t="shared" si="0"/>
        <v>185248.34</v>
      </c>
    </row>
    <row r="36" s="2" customFormat="1" spans="1:19">
      <c r="A36" s="16" t="s">
        <v>52</v>
      </c>
      <c r="B36" s="14" t="s">
        <v>19</v>
      </c>
      <c r="C36" s="14" t="s">
        <v>19</v>
      </c>
      <c r="D36" s="14" t="s">
        <v>19</v>
      </c>
      <c r="E36" s="14" t="s">
        <v>19</v>
      </c>
      <c r="F36" s="14" t="s">
        <v>19</v>
      </c>
      <c r="G36" s="14">
        <v>62138.31</v>
      </c>
      <c r="H36" s="14">
        <v>250906.62</v>
      </c>
      <c r="I36" s="14">
        <v>9951.36</v>
      </c>
      <c r="J36" s="14">
        <v>93853.6</v>
      </c>
      <c r="K36" s="14">
        <v>43536.41</v>
      </c>
      <c r="L36" s="14">
        <v>42672.48</v>
      </c>
      <c r="M36" s="14">
        <v>945622.13</v>
      </c>
      <c r="N36" s="14">
        <v>49955.15</v>
      </c>
      <c r="O36" s="14">
        <v>1196932.38</v>
      </c>
      <c r="P36" s="14">
        <v>548008</v>
      </c>
      <c r="Q36" s="14">
        <v>519600</v>
      </c>
      <c r="R36" s="14">
        <v>804228</v>
      </c>
      <c r="S36" s="15">
        <f t="shared" si="0"/>
        <v>4567404.44</v>
      </c>
    </row>
    <row r="37" s="2" customFormat="1" spans="1:19">
      <c r="A37" s="16" t="s">
        <v>53</v>
      </c>
      <c r="B37" s="14" t="s">
        <v>19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1675.8</v>
      </c>
      <c r="J37" s="14">
        <v>5478</v>
      </c>
      <c r="K37" s="14">
        <v>9688.06</v>
      </c>
      <c r="L37" s="14">
        <v>3182.4</v>
      </c>
      <c r="M37" s="14">
        <v>0</v>
      </c>
      <c r="N37" s="14" t="s">
        <v>19</v>
      </c>
      <c r="O37" s="14" t="s">
        <v>19</v>
      </c>
      <c r="P37" s="14"/>
      <c r="Q37" s="14"/>
      <c r="R37" s="14"/>
      <c r="S37" s="15">
        <f t="shared" si="0"/>
        <v>20024.26</v>
      </c>
    </row>
    <row r="38" s="2" customFormat="1" spans="1:19">
      <c r="A38" s="16" t="s">
        <v>54</v>
      </c>
      <c r="B38" s="14">
        <v>594.9</v>
      </c>
      <c r="C38" s="14">
        <v>0</v>
      </c>
      <c r="D38" s="14">
        <v>0</v>
      </c>
      <c r="E38" s="14">
        <v>0</v>
      </c>
      <c r="F38" s="14">
        <v>159.55</v>
      </c>
      <c r="G38" s="14">
        <v>4914.54</v>
      </c>
      <c r="H38" s="14">
        <v>78953.23</v>
      </c>
      <c r="I38" s="14">
        <v>202027</v>
      </c>
      <c r="J38" s="14">
        <v>65425.58</v>
      </c>
      <c r="K38" s="14">
        <v>0</v>
      </c>
      <c r="L38" s="14">
        <v>0</v>
      </c>
      <c r="M38" s="14">
        <v>0</v>
      </c>
      <c r="N38" s="14" t="s">
        <v>19</v>
      </c>
      <c r="O38" s="14" t="s">
        <v>19</v>
      </c>
      <c r="P38" s="14"/>
      <c r="Q38" s="14"/>
      <c r="R38" s="14"/>
      <c r="S38" s="15">
        <f t="shared" si="0"/>
        <v>352074.8</v>
      </c>
    </row>
    <row r="39" s="2" customFormat="1" spans="1:19">
      <c r="A39" s="16" t="s">
        <v>55</v>
      </c>
      <c r="B39" s="14">
        <v>682.15</v>
      </c>
      <c r="C39" s="14">
        <v>0</v>
      </c>
      <c r="D39" s="14">
        <v>277.62</v>
      </c>
      <c r="E39" s="14">
        <v>0</v>
      </c>
      <c r="F39" s="14">
        <v>1286.39</v>
      </c>
      <c r="G39" s="14">
        <v>397369.8</v>
      </c>
      <c r="H39" s="14">
        <v>45171.82</v>
      </c>
      <c r="I39" s="14">
        <v>49000.39</v>
      </c>
      <c r="J39" s="14">
        <v>79792.55</v>
      </c>
      <c r="K39" s="14">
        <v>15994.66</v>
      </c>
      <c r="L39" s="14">
        <v>38918.98</v>
      </c>
      <c r="M39" s="14">
        <v>0</v>
      </c>
      <c r="N39" s="14" t="s">
        <v>19</v>
      </c>
      <c r="O39" s="14" t="s">
        <v>19</v>
      </c>
      <c r="P39" s="14">
        <v>1069121.69</v>
      </c>
      <c r="Q39" s="14"/>
      <c r="R39" s="14">
        <v>1262117</v>
      </c>
      <c r="S39" s="15">
        <f t="shared" si="0"/>
        <v>2959733.05</v>
      </c>
    </row>
    <row r="40" s="2" customFormat="1" spans="1:19">
      <c r="A40" s="16" t="s">
        <v>56</v>
      </c>
      <c r="B40" s="14" t="s">
        <v>19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29220.28</v>
      </c>
      <c r="I40" s="14">
        <v>33326.08</v>
      </c>
      <c r="J40" s="14">
        <v>175471.3</v>
      </c>
      <c r="K40" s="14">
        <v>0</v>
      </c>
      <c r="L40" s="14">
        <v>0</v>
      </c>
      <c r="M40" s="14">
        <v>0</v>
      </c>
      <c r="N40" s="14" t="s">
        <v>19</v>
      </c>
      <c r="O40" s="14" t="s">
        <v>19</v>
      </c>
      <c r="P40" s="14">
        <v>422880</v>
      </c>
      <c r="Q40" s="14"/>
      <c r="R40" s="14"/>
      <c r="S40" s="15">
        <f t="shared" si="0"/>
        <v>660897.66</v>
      </c>
    </row>
    <row r="41" s="2" customFormat="1" spans="1:19">
      <c r="A41" s="16" t="s">
        <v>57</v>
      </c>
      <c r="B41" s="14" t="s">
        <v>19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39249.6</v>
      </c>
      <c r="L41" s="14">
        <v>23311.08</v>
      </c>
      <c r="M41" s="14">
        <v>0</v>
      </c>
      <c r="N41" s="14" t="s">
        <v>19</v>
      </c>
      <c r="O41" s="14" t="s">
        <v>19</v>
      </c>
      <c r="P41" s="14"/>
      <c r="Q41" s="14"/>
      <c r="R41" s="14"/>
      <c r="S41" s="15">
        <f t="shared" si="0"/>
        <v>62560.68</v>
      </c>
    </row>
    <row r="42" s="2" customFormat="1" spans="1:19">
      <c r="A42" s="16" t="s">
        <v>58</v>
      </c>
      <c r="B42" s="14" t="s">
        <v>19</v>
      </c>
      <c r="C42" s="14">
        <v>1322</v>
      </c>
      <c r="D42" s="14">
        <v>0</v>
      </c>
      <c r="E42" s="14">
        <v>0</v>
      </c>
      <c r="F42" s="14">
        <v>0</v>
      </c>
      <c r="G42" s="14">
        <v>0</v>
      </c>
      <c r="H42" s="14">
        <v>5094.5</v>
      </c>
      <c r="I42" s="14">
        <v>14011.55</v>
      </c>
      <c r="J42" s="14">
        <v>96408.24</v>
      </c>
      <c r="K42" s="14">
        <v>278934.12</v>
      </c>
      <c r="L42" s="14">
        <v>22771.84</v>
      </c>
      <c r="M42" s="14">
        <v>0</v>
      </c>
      <c r="N42" s="14" t="s">
        <v>19</v>
      </c>
      <c r="O42" s="14" t="s">
        <v>19</v>
      </c>
      <c r="P42" s="14"/>
      <c r="Q42" s="14"/>
      <c r="R42" s="14">
        <v>307163.34</v>
      </c>
      <c r="S42" s="15">
        <f t="shared" si="0"/>
        <v>725705.59</v>
      </c>
    </row>
    <row r="43" s="2" customFormat="1" spans="1:19">
      <c r="A43" s="16" t="s">
        <v>59</v>
      </c>
      <c r="B43" s="14" t="s">
        <v>19</v>
      </c>
      <c r="C43" s="14">
        <v>0</v>
      </c>
      <c r="D43" s="14">
        <v>0</v>
      </c>
      <c r="E43" s="14">
        <v>0</v>
      </c>
      <c r="F43" s="14">
        <v>0</v>
      </c>
      <c r="G43" s="14">
        <v>43761.81</v>
      </c>
      <c r="H43" s="14">
        <v>194920</v>
      </c>
      <c r="I43" s="14">
        <v>70336.87</v>
      </c>
      <c r="J43" s="14">
        <v>0</v>
      </c>
      <c r="K43" s="14">
        <v>0</v>
      </c>
      <c r="L43" s="14">
        <v>2641.13</v>
      </c>
      <c r="M43" s="14">
        <v>12213.94</v>
      </c>
      <c r="N43" s="14" t="s">
        <v>19</v>
      </c>
      <c r="O43" s="14">
        <v>41211.25</v>
      </c>
      <c r="P43" s="14"/>
      <c r="Q43" s="14"/>
      <c r="R43" s="14"/>
      <c r="S43" s="15">
        <f t="shared" si="0"/>
        <v>365085</v>
      </c>
    </row>
    <row r="44" s="2" customFormat="1" spans="1:19">
      <c r="A44" s="13" t="s">
        <v>60</v>
      </c>
      <c r="B44" s="14" t="s">
        <v>19</v>
      </c>
      <c r="C44" s="14">
        <v>0</v>
      </c>
      <c r="D44" s="14">
        <v>172591.88</v>
      </c>
      <c r="E44" s="14">
        <v>192958.25</v>
      </c>
      <c r="F44" s="14">
        <v>216980.11</v>
      </c>
      <c r="G44" s="14">
        <v>51572.75</v>
      </c>
      <c r="H44" s="14">
        <v>53442.63</v>
      </c>
      <c r="I44" s="14">
        <v>56156.8</v>
      </c>
      <c r="J44" s="14">
        <v>3333868.53</v>
      </c>
      <c r="K44" s="14">
        <v>3254327.93</v>
      </c>
      <c r="L44" s="14">
        <v>3233821.13</v>
      </c>
      <c r="M44" s="14">
        <v>0</v>
      </c>
      <c r="N44" s="14" t="s">
        <v>19</v>
      </c>
      <c r="O44" s="14" t="s">
        <v>19</v>
      </c>
      <c r="P44" s="14">
        <v>9689353.59</v>
      </c>
      <c r="Q44" s="14"/>
      <c r="R44" s="14">
        <v>19598669.71</v>
      </c>
      <c r="S44" s="15">
        <f t="shared" si="0"/>
        <v>39853743.31</v>
      </c>
    </row>
    <row r="45" s="2" customFormat="1" ht="17" spans="1:19">
      <c r="A45" s="18" t="s">
        <v>61</v>
      </c>
      <c r="B45" s="14">
        <v>132200</v>
      </c>
      <c r="C45" s="14">
        <v>998644.75</v>
      </c>
      <c r="D45" s="14">
        <v>0</v>
      </c>
      <c r="E45" s="14">
        <v>948136.08</v>
      </c>
      <c r="F45" s="14">
        <v>914900.25</v>
      </c>
      <c r="G45" s="19">
        <v>879362.11</v>
      </c>
      <c r="H45" s="19" t="s">
        <v>62</v>
      </c>
      <c r="I45" s="19">
        <v>892772.72</v>
      </c>
      <c r="J45" s="19" t="s">
        <v>62</v>
      </c>
      <c r="K45" s="19" t="s">
        <v>62</v>
      </c>
      <c r="L45" s="19" t="s">
        <v>62</v>
      </c>
      <c r="M45" s="19" t="s">
        <v>62</v>
      </c>
      <c r="N45" s="19" t="s">
        <v>19</v>
      </c>
      <c r="O45" s="19" t="s">
        <v>19</v>
      </c>
      <c r="P45" s="19">
        <v>282022.2</v>
      </c>
      <c r="Q45" s="19"/>
      <c r="R45" s="19"/>
      <c r="S45" s="15">
        <f t="shared" ref="S45:S50" si="1">SUM(B45:R45)</f>
        <v>5048038.11</v>
      </c>
    </row>
    <row r="46" s="2" customFormat="1" spans="1:19">
      <c r="A46" s="20" t="s">
        <v>63</v>
      </c>
      <c r="B46" s="14" t="s">
        <v>19</v>
      </c>
      <c r="C46" s="14">
        <v>1334157.2</v>
      </c>
      <c r="D46" s="14">
        <v>1941172.3</v>
      </c>
      <c r="E46" s="14">
        <v>5888936.16</v>
      </c>
      <c r="F46" s="14">
        <v>6685034.38</v>
      </c>
      <c r="G46" s="14">
        <v>0</v>
      </c>
      <c r="H46" s="14">
        <v>202921.68</v>
      </c>
      <c r="I46" s="14">
        <v>158935.38</v>
      </c>
      <c r="J46" s="14">
        <v>0</v>
      </c>
      <c r="K46" s="14">
        <v>0</v>
      </c>
      <c r="L46" s="14">
        <v>0</v>
      </c>
      <c r="M46" s="14">
        <v>0</v>
      </c>
      <c r="N46" s="14" t="s">
        <v>19</v>
      </c>
      <c r="O46" s="14" t="s">
        <v>19</v>
      </c>
      <c r="P46" s="14"/>
      <c r="Q46" s="14">
        <v>1317956.64</v>
      </c>
      <c r="R46" s="14"/>
      <c r="S46" s="15">
        <f t="shared" si="1"/>
        <v>17529113.74</v>
      </c>
    </row>
    <row r="47" s="2" customFormat="1" spans="1:19">
      <c r="A47" s="20" t="s">
        <v>64</v>
      </c>
      <c r="B47" s="14" t="s">
        <v>19</v>
      </c>
      <c r="C47" s="14">
        <v>0</v>
      </c>
      <c r="D47" s="14">
        <v>0</v>
      </c>
      <c r="E47" s="14">
        <v>0</v>
      </c>
      <c r="F47" s="14">
        <v>791468.91</v>
      </c>
      <c r="G47" s="14">
        <v>0</v>
      </c>
      <c r="H47" s="14">
        <v>919813.92</v>
      </c>
      <c r="I47" s="14">
        <v>1763824.6</v>
      </c>
      <c r="J47" s="14">
        <v>2791339.56</v>
      </c>
      <c r="K47" s="14">
        <v>2056033.41</v>
      </c>
      <c r="L47" s="14">
        <v>530400</v>
      </c>
      <c r="M47" s="14">
        <v>1262330.02</v>
      </c>
      <c r="N47" s="14" t="s">
        <v>19</v>
      </c>
      <c r="O47" s="14">
        <v>4223137.88</v>
      </c>
      <c r="P47" s="14">
        <v>5079353.52</v>
      </c>
      <c r="Q47" s="14">
        <v>3899024.2</v>
      </c>
      <c r="R47" s="14">
        <v>934992.04</v>
      </c>
      <c r="S47" s="15">
        <f t="shared" si="1"/>
        <v>24251718.06</v>
      </c>
    </row>
    <row r="48" s="2" customFormat="1" spans="1:19">
      <c r="A48" s="20" t="s">
        <v>65</v>
      </c>
      <c r="B48" s="14" t="s">
        <v>19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3749015.23</v>
      </c>
      <c r="L48" s="14">
        <v>0</v>
      </c>
      <c r="M48" s="14">
        <v>0</v>
      </c>
      <c r="N48" s="14" t="s">
        <v>19</v>
      </c>
      <c r="O48" s="14">
        <v>1062360</v>
      </c>
      <c r="P48" s="14"/>
      <c r="Q48" s="14"/>
      <c r="R48" s="14"/>
      <c r="S48" s="15">
        <f t="shared" si="1"/>
        <v>4811375.23</v>
      </c>
    </row>
    <row r="49" s="2" customFormat="1" spans="1:19">
      <c r="A49" s="20" t="s">
        <v>66</v>
      </c>
      <c r="B49" s="14" t="s">
        <v>19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76879.01</v>
      </c>
      <c r="K49" s="14">
        <v>702099.84</v>
      </c>
      <c r="L49" s="14">
        <v>1271470.39</v>
      </c>
      <c r="M49" s="14">
        <v>1666561.14</v>
      </c>
      <c r="N49" s="14">
        <v>5482436.71</v>
      </c>
      <c r="O49" s="14">
        <v>4255949.53</v>
      </c>
      <c r="P49" s="14">
        <v>197672.89</v>
      </c>
      <c r="Q49" s="14">
        <v>686674.11</v>
      </c>
      <c r="R49" s="14">
        <v>736890.87</v>
      </c>
      <c r="S49" s="15">
        <f t="shared" si="1"/>
        <v>15076634.49</v>
      </c>
    </row>
    <row r="50" s="2" customFormat="1" spans="1:19">
      <c r="A50" s="20" t="s">
        <v>67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3448215.32</v>
      </c>
      <c r="Q50" s="14"/>
      <c r="R50" s="14"/>
      <c r="S50" s="15">
        <f t="shared" si="1"/>
        <v>3448215.32</v>
      </c>
    </row>
    <row r="51" s="2" customFormat="1" spans="1:19">
      <c r="A51" s="20" t="s">
        <v>68</v>
      </c>
      <c r="B51" s="14" t="s">
        <v>19</v>
      </c>
      <c r="C51" s="14">
        <v>0</v>
      </c>
      <c r="D51" s="14">
        <v>0</v>
      </c>
      <c r="E51" s="14">
        <v>0</v>
      </c>
      <c r="F51" s="14">
        <v>400662.25</v>
      </c>
      <c r="G51" s="14">
        <v>0</v>
      </c>
      <c r="H51" s="14">
        <v>4429122.86</v>
      </c>
      <c r="I51" s="14">
        <v>0</v>
      </c>
      <c r="J51" s="14">
        <v>0</v>
      </c>
      <c r="K51" s="14">
        <v>0</v>
      </c>
      <c r="L51" s="14">
        <v>4415359</v>
      </c>
      <c r="M51" s="14">
        <v>5418948.28</v>
      </c>
      <c r="N51" s="14" t="s">
        <v>19</v>
      </c>
      <c r="O51" s="14" t="s">
        <v>19</v>
      </c>
      <c r="P51" s="14"/>
      <c r="Q51" s="14">
        <v>54475.79</v>
      </c>
      <c r="R51" s="14">
        <v>3741585.21</v>
      </c>
      <c r="S51" s="15">
        <f t="shared" ref="S51:S71" si="2">SUM(B51:R51)</f>
        <v>18460153.39</v>
      </c>
    </row>
    <row r="52" s="2" customFormat="1" spans="1:19">
      <c r="A52" s="20" t="s">
        <v>69</v>
      </c>
      <c r="B52" s="14" t="s">
        <v>19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169273.84</v>
      </c>
      <c r="I52" s="14">
        <v>372400</v>
      </c>
      <c r="J52" s="14">
        <v>0</v>
      </c>
      <c r="K52" s="14">
        <v>0</v>
      </c>
      <c r="L52" s="14">
        <v>0</v>
      </c>
      <c r="M52" s="14">
        <v>0</v>
      </c>
      <c r="N52" s="14" t="s">
        <v>19</v>
      </c>
      <c r="O52" s="14">
        <v>135052.7</v>
      </c>
      <c r="P52" s="14"/>
      <c r="Q52" s="14"/>
      <c r="R52" s="14"/>
      <c r="S52" s="15">
        <f t="shared" si="2"/>
        <v>676726.54</v>
      </c>
    </row>
    <row r="53" s="2" customFormat="1" spans="1:19">
      <c r="A53" s="16" t="s">
        <v>70</v>
      </c>
      <c r="B53" s="14" t="s">
        <v>19</v>
      </c>
      <c r="C53" s="14">
        <v>0</v>
      </c>
      <c r="D53" s="14">
        <v>0</v>
      </c>
      <c r="E53" s="14">
        <v>0</v>
      </c>
      <c r="F53" s="14">
        <v>217910.8</v>
      </c>
      <c r="G53" s="14">
        <v>120950.39</v>
      </c>
      <c r="H53" s="14">
        <v>2739259.03</v>
      </c>
      <c r="I53" s="14">
        <v>3143063.3</v>
      </c>
      <c r="J53" s="14">
        <v>3561903.81</v>
      </c>
      <c r="K53" s="14">
        <v>3516183.99</v>
      </c>
      <c r="L53" s="14">
        <v>2758142.54</v>
      </c>
      <c r="M53" s="14">
        <v>0</v>
      </c>
      <c r="N53" s="14" t="s">
        <v>19</v>
      </c>
      <c r="O53" s="14">
        <v>453349.2</v>
      </c>
      <c r="P53" s="14">
        <v>4363580.83</v>
      </c>
      <c r="Q53" s="14">
        <v>723872.66</v>
      </c>
      <c r="R53" s="14">
        <v>3167606.57</v>
      </c>
      <c r="S53" s="15">
        <f t="shared" si="2"/>
        <v>24765823.12</v>
      </c>
    </row>
    <row r="54" s="2" customFormat="1" spans="1:19">
      <c r="A54" s="16" t="s">
        <v>71</v>
      </c>
      <c r="B54" s="14" t="s">
        <v>19</v>
      </c>
      <c r="C54" s="14">
        <v>0</v>
      </c>
      <c r="D54" s="14">
        <v>0</v>
      </c>
      <c r="E54" s="14">
        <v>23648</v>
      </c>
      <c r="F54" s="14">
        <v>662265.45</v>
      </c>
      <c r="G54" s="14">
        <v>0</v>
      </c>
      <c r="H54" s="14">
        <v>613998</v>
      </c>
      <c r="I54" s="14">
        <v>712633.95</v>
      </c>
      <c r="J54" s="14">
        <v>0</v>
      </c>
      <c r="K54" s="14">
        <v>0</v>
      </c>
      <c r="L54" s="14">
        <v>0</v>
      </c>
      <c r="M54" s="14">
        <v>0</v>
      </c>
      <c r="N54" s="14" t="s">
        <v>19</v>
      </c>
      <c r="O54" s="14">
        <v>211791</v>
      </c>
      <c r="P54" s="14"/>
      <c r="Q54" s="14"/>
      <c r="R54" s="14"/>
      <c r="S54" s="15">
        <f t="shared" si="2"/>
        <v>2224336.4</v>
      </c>
    </row>
    <row r="55" s="2" customFormat="1" spans="1:19">
      <c r="A55" s="16" t="s">
        <v>72</v>
      </c>
      <c r="B55" s="14" t="s">
        <v>19</v>
      </c>
      <c r="C55" s="14">
        <v>0</v>
      </c>
      <c r="D55" s="14">
        <v>0</v>
      </c>
      <c r="E55" s="14">
        <v>0</v>
      </c>
      <c r="F55" s="14">
        <v>0</v>
      </c>
      <c r="G55" s="14">
        <v>208393.43</v>
      </c>
      <c r="H55" s="14">
        <v>310898.42</v>
      </c>
      <c r="I55" s="14">
        <v>0</v>
      </c>
      <c r="J55" s="14">
        <v>714818.23</v>
      </c>
      <c r="K55" s="14">
        <v>1800684.11</v>
      </c>
      <c r="L55" s="14">
        <v>0</v>
      </c>
      <c r="M55" s="14">
        <v>419465.85</v>
      </c>
      <c r="N55" s="14" t="s">
        <v>19</v>
      </c>
      <c r="O55" s="14">
        <v>122509.78</v>
      </c>
      <c r="P55" s="14"/>
      <c r="Q55" s="14"/>
      <c r="R55" s="14">
        <v>263581.59</v>
      </c>
      <c r="S55" s="15">
        <f t="shared" si="2"/>
        <v>3840351.41</v>
      </c>
    </row>
    <row r="56" s="2" customFormat="1" spans="1:19">
      <c r="A56" s="16" t="s">
        <v>73</v>
      </c>
      <c r="B56" s="14" t="s">
        <v>19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3083535.21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 t="s">
        <v>19</v>
      </c>
      <c r="O56" s="14">
        <v>973878.47</v>
      </c>
      <c r="P56" s="14"/>
      <c r="Q56" s="14">
        <v>640997.28</v>
      </c>
      <c r="R56" s="14"/>
      <c r="S56" s="15">
        <f t="shared" si="2"/>
        <v>4698410.96</v>
      </c>
    </row>
    <row r="57" s="2" customFormat="1" spans="1:19">
      <c r="A57" s="16" t="s">
        <v>74</v>
      </c>
      <c r="B57" s="14" t="s">
        <v>19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1044198.45</v>
      </c>
      <c r="K57" s="14">
        <v>0</v>
      </c>
      <c r="L57" s="14">
        <v>0</v>
      </c>
      <c r="M57" s="14">
        <v>0</v>
      </c>
      <c r="N57" s="14" t="s">
        <v>19</v>
      </c>
      <c r="O57" s="14">
        <v>188920.26</v>
      </c>
      <c r="P57" s="14"/>
      <c r="Q57" s="14"/>
      <c r="R57" s="14"/>
      <c r="S57" s="15">
        <f t="shared" si="2"/>
        <v>1233118.71</v>
      </c>
    </row>
    <row r="58" s="2" customFormat="1" spans="1:19">
      <c r="A58" s="16" t="s">
        <v>75</v>
      </c>
      <c r="B58" s="14" t="s">
        <v>19</v>
      </c>
      <c r="C58" s="14">
        <v>0</v>
      </c>
      <c r="D58" s="14">
        <v>0</v>
      </c>
      <c r="E58" s="14">
        <v>0</v>
      </c>
      <c r="F58" s="14">
        <v>0</v>
      </c>
      <c r="G58" s="14">
        <v>425217.15</v>
      </c>
      <c r="H58" s="14">
        <v>13323.23</v>
      </c>
      <c r="I58" s="14">
        <v>0</v>
      </c>
      <c r="J58" s="14">
        <v>0</v>
      </c>
      <c r="K58" s="14">
        <v>56388</v>
      </c>
      <c r="L58" s="14">
        <v>0</v>
      </c>
      <c r="M58" s="14">
        <v>0</v>
      </c>
      <c r="N58" s="14" t="s">
        <v>19</v>
      </c>
      <c r="O58" s="14" t="s">
        <v>19</v>
      </c>
      <c r="P58" s="14"/>
      <c r="Q58" s="14"/>
      <c r="R58" s="14"/>
      <c r="S58" s="15">
        <f t="shared" si="2"/>
        <v>494928.38</v>
      </c>
    </row>
    <row r="59" s="2" customFormat="1" spans="1:19">
      <c r="A59" s="20" t="s">
        <v>76</v>
      </c>
      <c r="B59" s="14" t="s">
        <v>19</v>
      </c>
      <c r="C59" s="14">
        <v>19605.72</v>
      </c>
      <c r="D59" s="14">
        <v>9886.18</v>
      </c>
      <c r="E59" s="14">
        <v>90733.58</v>
      </c>
      <c r="F59" s="14">
        <v>0</v>
      </c>
      <c r="G59" s="14">
        <v>0</v>
      </c>
      <c r="H59" s="14">
        <v>25641.83</v>
      </c>
      <c r="I59" s="14">
        <v>162438.31</v>
      </c>
      <c r="J59" s="14">
        <v>592756.05</v>
      </c>
      <c r="K59" s="14">
        <v>79487.81</v>
      </c>
      <c r="L59" s="14">
        <v>1091850.21</v>
      </c>
      <c r="M59" s="14">
        <v>70022.97</v>
      </c>
      <c r="N59" s="14" t="s">
        <v>19</v>
      </c>
      <c r="O59" s="14">
        <v>1067539.37</v>
      </c>
      <c r="P59" s="14"/>
      <c r="Q59" s="14">
        <v>1415390.08</v>
      </c>
      <c r="R59" s="14">
        <v>329062.87</v>
      </c>
      <c r="S59" s="15">
        <f t="shared" si="2"/>
        <v>4954414.98</v>
      </c>
    </row>
    <row r="60" s="2" customFormat="1" spans="1:19">
      <c r="A60" s="20" t="s">
        <v>77</v>
      </c>
      <c r="B60" s="14" t="s">
        <v>19</v>
      </c>
      <c r="C60" s="14">
        <v>7075.87</v>
      </c>
      <c r="D60" s="14">
        <v>14490.18</v>
      </c>
      <c r="E60" s="14">
        <v>19426.98</v>
      </c>
      <c r="F60" s="14">
        <v>40459.73</v>
      </c>
      <c r="G60" s="14">
        <v>0</v>
      </c>
      <c r="H60" s="14">
        <v>130648.3</v>
      </c>
      <c r="I60" s="14">
        <v>112762.72</v>
      </c>
      <c r="J60" s="14">
        <v>20099.7</v>
      </c>
      <c r="K60" s="14">
        <v>223219.43</v>
      </c>
      <c r="L60" s="14">
        <v>0</v>
      </c>
      <c r="M60" s="14">
        <v>0</v>
      </c>
      <c r="N60" s="14" t="s">
        <v>19</v>
      </c>
      <c r="O60" s="14">
        <v>427673.74</v>
      </c>
      <c r="P60" s="14">
        <v>1429075.21</v>
      </c>
      <c r="Q60" s="14">
        <v>81209.44</v>
      </c>
      <c r="R60" s="14"/>
      <c r="S60" s="15">
        <f t="shared" si="2"/>
        <v>2506141.3</v>
      </c>
    </row>
    <row r="61" s="2" customFormat="1" spans="1:19">
      <c r="A61" s="20" t="s">
        <v>78</v>
      </c>
      <c r="B61" s="14" t="s">
        <v>19</v>
      </c>
      <c r="C61" s="14">
        <v>41965.57</v>
      </c>
      <c r="D61" s="14">
        <v>0</v>
      </c>
      <c r="E61" s="14">
        <v>54212.15</v>
      </c>
      <c r="F61" s="14">
        <v>23792.32</v>
      </c>
      <c r="G61" s="14">
        <v>0</v>
      </c>
      <c r="H61" s="14">
        <v>40466.75</v>
      </c>
      <c r="I61" s="14">
        <v>0</v>
      </c>
      <c r="J61" s="14">
        <v>0</v>
      </c>
      <c r="K61" s="14">
        <v>854695.56</v>
      </c>
      <c r="L61" s="14">
        <v>0</v>
      </c>
      <c r="M61" s="14">
        <v>0</v>
      </c>
      <c r="N61" s="14" t="s">
        <v>19</v>
      </c>
      <c r="O61" s="14">
        <v>272355.51</v>
      </c>
      <c r="P61" s="14"/>
      <c r="Q61" s="14"/>
      <c r="R61" s="14"/>
      <c r="S61" s="15">
        <f t="shared" si="2"/>
        <v>1287487.86</v>
      </c>
    </row>
    <row r="62" s="2" customFormat="1" spans="1:19">
      <c r="A62" s="20" t="s">
        <v>79</v>
      </c>
      <c r="B62" s="14" t="s">
        <v>19</v>
      </c>
      <c r="C62" s="14">
        <v>0</v>
      </c>
      <c r="D62" s="14">
        <v>0</v>
      </c>
      <c r="E62" s="14">
        <v>0</v>
      </c>
      <c r="F62" s="14">
        <v>7582.52</v>
      </c>
      <c r="G62" s="14">
        <v>0</v>
      </c>
      <c r="H62" s="14">
        <v>114327.53</v>
      </c>
      <c r="I62" s="14">
        <v>0</v>
      </c>
      <c r="J62" s="14">
        <v>1242095.53</v>
      </c>
      <c r="K62" s="14">
        <v>554964.48</v>
      </c>
      <c r="L62" s="14">
        <v>0</v>
      </c>
      <c r="M62" s="14">
        <v>326781.31</v>
      </c>
      <c r="N62" s="14" t="s">
        <v>19</v>
      </c>
      <c r="O62" s="14">
        <v>159325.04</v>
      </c>
      <c r="P62" s="14"/>
      <c r="Q62" s="14"/>
      <c r="R62" s="14"/>
      <c r="S62" s="15">
        <f t="shared" si="2"/>
        <v>2405076.41</v>
      </c>
    </row>
    <row r="63" s="2" customFormat="1" spans="1:19">
      <c r="A63" s="20" t="s">
        <v>80</v>
      </c>
      <c r="B63" s="14" t="s">
        <v>19</v>
      </c>
      <c r="C63" s="14">
        <v>0</v>
      </c>
      <c r="D63" s="14">
        <v>0</v>
      </c>
      <c r="E63" s="14">
        <v>48572.48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 t="s">
        <v>19</v>
      </c>
      <c r="O63" s="14">
        <v>965690.69</v>
      </c>
      <c r="P63" s="14"/>
      <c r="Q63" s="14"/>
      <c r="R63" s="14"/>
      <c r="S63" s="15">
        <f t="shared" si="2"/>
        <v>1014263.17</v>
      </c>
    </row>
    <row r="64" s="2" customFormat="1" spans="1:19">
      <c r="A64" s="16" t="s">
        <v>81</v>
      </c>
      <c r="B64" s="14" t="s">
        <v>19</v>
      </c>
      <c r="C64" s="14">
        <v>3180</v>
      </c>
      <c r="D64" s="14">
        <v>9013.96</v>
      </c>
      <c r="E64" s="14">
        <v>12659.15</v>
      </c>
      <c r="F64" s="14">
        <v>5871.25</v>
      </c>
      <c r="G64" s="14">
        <v>0</v>
      </c>
      <c r="H64" s="14">
        <v>30096.89</v>
      </c>
      <c r="I64" s="14">
        <v>0</v>
      </c>
      <c r="J64" s="14">
        <v>161044.76</v>
      </c>
      <c r="K64" s="14">
        <v>126459.81</v>
      </c>
      <c r="L64" s="14">
        <v>432766.45</v>
      </c>
      <c r="M64" s="14">
        <v>199189.68</v>
      </c>
      <c r="N64" s="14" t="s">
        <v>19</v>
      </c>
      <c r="O64" s="14">
        <v>197854.83</v>
      </c>
      <c r="P64" s="14"/>
      <c r="Q64" s="14">
        <v>443454.02</v>
      </c>
      <c r="R64" s="14"/>
      <c r="S64" s="15">
        <f t="shared" si="2"/>
        <v>1621590.8</v>
      </c>
    </row>
    <row r="65" s="2" customFormat="1" spans="1:19">
      <c r="A65" s="20" t="s">
        <v>82</v>
      </c>
      <c r="B65" s="14" t="s">
        <v>19</v>
      </c>
      <c r="C65" s="14">
        <v>0</v>
      </c>
      <c r="D65" s="14">
        <v>0</v>
      </c>
      <c r="E65" s="14">
        <v>37023.9</v>
      </c>
      <c r="F65" s="14">
        <v>41633.1</v>
      </c>
      <c r="G65" s="14">
        <v>0</v>
      </c>
      <c r="H65" s="14">
        <v>46515</v>
      </c>
      <c r="I65" s="14">
        <v>195510</v>
      </c>
      <c r="J65" s="14">
        <v>0</v>
      </c>
      <c r="K65" s="14">
        <v>133200</v>
      </c>
      <c r="L65" s="14">
        <v>70720</v>
      </c>
      <c r="M65" s="14">
        <v>5885.04</v>
      </c>
      <c r="N65" s="14" t="s">
        <v>19</v>
      </c>
      <c r="O65" s="14" t="s">
        <v>19</v>
      </c>
      <c r="P65" s="14"/>
      <c r="Q65" s="14"/>
      <c r="R65" s="14"/>
      <c r="S65" s="15">
        <f t="shared" si="2"/>
        <v>530487.04</v>
      </c>
    </row>
    <row r="66" s="2" customFormat="1" spans="1:19">
      <c r="A66" s="16" t="s">
        <v>83</v>
      </c>
      <c r="B66" s="14" t="s">
        <v>19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712080.39</v>
      </c>
      <c r="L66" s="14">
        <v>0</v>
      </c>
      <c r="M66" s="14">
        <v>76411.99</v>
      </c>
      <c r="N66" s="14" t="s">
        <v>19</v>
      </c>
      <c r="O66" s="14">
        <v>122491.02</v>
      </c>
      <c r="P66" s="14"/>
      <c r="Q66" s="14"/>
      <c r="R66" s="14"/>
      <c r="S66" s="15">
        <f t="shared" si="2"/>
        <v>910983.4</v>
      </c>
    </row>
    <row r="67" s="2" customFormat="1" spans="1:19">
      <c r="A67" s="16" t="s">
        <v>84</v>
      </c>
      <c r="B67" s="14" t="s">
        <v>19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1182474.73</v>
      </c>
      <c r="K67" s="14">
        <v>0</v>
      </c>
      <c r="L67" s="14">
        <v>183236.4</v>
      </c>
      <c r="M67" s="14">
        <v>0</v>
      </c>
      <c r="N67" s="14" t="s">
        <v>19</v>
      </c>
      <c r="O67" s="14">
        <v>531180</v>
      </c>
      <c r="P67" s="14">
        <v>2643000</v>
      </c>
      <c r="Q67" s="14">
        <v>3088315.17</v>
      </c>
      <c r="R67" s="14"/>
      <c r="S67" s="15">
        <f t="shared" si="2"/>
        <v>7628206.3</v>
      </c>
    </row>
    <row r="68" s="2" customFormat="1" spans="1:19">
      <c r="A68" s="16" t="s">
        <v>85</v>
      </c>
      <c r="B68" s="14" t="s">
        <v>19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230532.5</v>
      </c>
      <c r="K68" s="14">
        <v>195963.84</v>
      </c>
      <c r="L68" s="14">
        <v>110500</v>
      </c>
      <c r="M68" s="14">
        <v>0</v>
      </c>
      <c r="N68" s="14" t="s">
        <v>19</v>
      </c>
      <c r="O68" s="14" t="s">
        <v>19</v>
      </c>
      <c r="P68" s="14">
        <v>110125</v>
      </c>
      <c r="Q68" s="14"/>
      <c r="R68" s="14"/>
      <c r="S68" s="15">
        <f t="shared" si="2"/>
        <v>647121.34</v>
      </c>
    </row>
    <row r="69" s="2" customFormat="1" spans="1:19">
      <c r="A69" s="16" t="s">
        <v>86</v>
      </c>
      <c r="B69" s="14" t="s">
        <v>19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130156.18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 t="s">
        <v>19</v>
      </c>
      <c r="O69" s="14" t="s">
        <v>19</v>
      </c>
      <c r="P69" s="14"/>
      <c r="Q69" s="14"/>
      <c r="R69" s="14"/>
      <c r="S69" s="15">
        <f t="shared" si="2"/>
        <v>130156.18</v>
      </c>
    </row>
    <row r="70" s="2" customFormat="1" spans="1:19">
      <c r="A70" s="16" t="s">
        <v>87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>
        <v>766883.77</v>
      </c>
      <c r="S70" s="15">
        <f t="shared" si="2"/>
        <v>766883.77</v>
      </c>
    </row>
    <row r="71" s="2" customFormat="1" spans="1:19">
      <c r="A71" s="16" t="s">
        <v>88</v>
      </c>
      <c r="B71" s="14" t="s">
        <v>19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66875.28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 t="s">
        <v>19</v>
      </c>
      <c r="O71" s="14" t="s">
        <v>19</v>
      </c>
      <c r="P71" s="14"/>
      <c r="Q71" s="14"/>
      <c r="R71" s="14"/>
      <c r="S71" s="15">
        <f t="shared" si="2"/>
        <v>66875.28</v>
      </c>
    </row>
    <row r="72" s="2" customFormat="1" spans="1:19">
      <c r="A72" s="18" t="s">
        <v>89</v>
      </c>
      <c r="B72" s="14" t="s">
        <v>19</v>
      </c>
      <c r="C72" s="14">
        <v>0</v>
      </c>
      <c r="D72" s="14">
        <v>0</v>
      </c>
      <c r="E72" s="14">
        <v>0</v>
      </c>
      <c r="F72" s="14">
        <v>225608.19</v>
      </c>
      <c r="G72" s="14">
        <v>0</v>
      </c>
      <c r="H72" s="14">
        <v>509467.72</v>
      </c>
      <c r="I72" s="14">
        <v>72338.7</v>
      </c>
      <c r="J72" s="14">
        <v>93454.68</v>
      </c>
      <c r="K72" s="14">
        <v>488683.72</v>
      </c>
      <c r="L72" s="14">
        <v>295644.96</v>
      </c>
      <c r="M72" s="14">
        <v>0</v>
      </c>
      <c r="N72" s="14">
        <v>3774</v>
      </c>
      <c r="O72" s="14">
        <v>2160764.42</v>
      </c>
      <c r="P72" s="14">
        <v>706482.71</v>
      </c>
      <c r="Q72" s="14">
        <v>1286406.2</v>
      </c>
      <c r="R72" s="14">
        <v>2663738.06</v>
      </c>
      <c r="S72" s="15">
        <f t="shared" ref="S72:S98" si="3">SUM(B72:R72)</f>
        <v>8506363.36</v>
      </c>
    </row>
    <row r="73" s="2" customFormat="1" spans="1:19">
      <c r="A73" s="18" t="s">
        <v>90</v>
      </c>
      <c r="B73" s="14" t="s">
        <v>19</v>
      </c>
      <c r="C73" s="14">
        <v>212181</v>
      </c>
      <c r="D73" s="14">
        <v>0</v>
      </c>
      <c r="E73" s="14">
        <v>0</v>
      </c>
      <c r="F73" s="14">
        <v>0</v>
      </c>
      <c r="G73" s="14">
        <v>0</v>
      </c>
      <c r="H73" s="14">
        <v>903720</v>
      </c>
      <c r="I73" s="14">
        <v>0</v>
      </c>
      <c r="J73" s="14">
        <v>121617.99</v>
      </c>
      <c r="K73" s="14">
        <v>0</v>
      </c>
      <c r="L73" s="14">
        <v>0</v>
      </c>
      <c r="M73" s="14">
        <v>0</v>
      </c>
      <c r="N73" s="14" t="s">
        <v>19</v>
      </c>
      <c r="O73" s="14" t="s">
        <v>19</v>
      </c>
      <c r="P73" s="14"/>
      <c r="Q73" s="14"/>
      <c r="R73" s="14"/>
      <c r="S73" s="15">
        <f t="shared" si="3"/>
        <v>1237518.99</v>
      </c>
    </row>
    <row r="74" s="2" customFormat="1" spans="1:19">
      <c r="A74" s="18" t="s">
        <v>91</v>
      </c>
      <c r="B74" s="14" t="s">
        <v>19</v>
      </c>
      <c r="C74" s="14">
        <v>65450.9</v>
      </c>
      <c r="D74" s="14">
        <v>0</v>
      </c>
      <c r="E74" s="14">
        <v>0</v>
      </c>
      <c r="F74" s="14">
        <v>9357.06</v>
      </c>
      <c r="G74" s="14">
        <v>6203.54</v>
      </c>
      <c r="H74" s="14">
        <v>163985.66</v>
      </c>
      <c r="I74" s="14">
        <v>0</v>
      </c>
      <c r="J74" s="14">
        <v>44626.89</v>
      </c>
      <c r="K74" s="14">
        <v>37899.84</v>
      </c>
      <c r="L74" s="14">
        <v>0</v>
      </c>
      <c r="M74" s="14">
        <v>0</v>
      </c>
      <c r="N74" s="14">
        <v>69824.04</v>
      </c>
      <c r="O74" s="14" t="s">
        <v>19</v>
      </c>
      <c r="P74" s="14"/>
      <c r="Q74" s="14"/>
      <c r="R74" s="14"/>
      <c r="S74" s="15">
        <f t="shared" si="3"/>
        <v>397347.93</v>
      </c>
    </row>
    <row r="75" s="2" customFormat="1" spans="1:19">
      <c r="A75" s="18" t="s">
        <v>92</v>
      </c>
      <c r="B75" s="14" t="s">
        <v>19</v>
      </c>
      <c r="C75" s="14" t="s">
        <v>19</v>
      </c>
      <c r="D75" s="14" t="s">
        <v>19</v>
      </c>
      <c r="E75" s="14" t="s">
        <v>19</v>
      </c>
      <c r="F75" s="14" t="s">
        <v>19</v>
      </c>
      <c r="G75" s="14">
        <v>11430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 t="s">
        <v>19</v>
      </c>
      <c r="O75" s="14" t="s">
        <v>19</v>
      </c>
      <c r="P75" s="14"/>
      <c r="Q75" s="14"/>
      <c r="R75" s="14"/>
      <c r="S75" s="15">
        <f t="shared" si="3"/>
        <v>11430</v>
      </c>
    </row>
    <row r="76" s="2" customFormat="1" spans="1:19">
      <c r="A76" s="18" t="s">
        <v>93</v>
      </c>
      <c r="B76" s="14" t="s">
        <v>19</v>
      </c>
      <c r="C76" s="14">
        <v>13128.78</v>
      </c>
      <c r="D76" s="14">
        <v>0</v>
      </c>
      <c r="E76" s="14">
        <v>49483.44</v>
      </c>
      <c r="F76" s="14">
        <v>17201.7</v>
      </c>
      <c r="G76" s="14">
        <v>0</v>
      </c>
      <c r="H76" s="14">
        <v>74428.7</v>
      </c>
      <c r="I76" s="14">
        <v>179645.76</v>
      </c>
      <c r="J76" s="14">
        <v>101791.24</v>
      </c>
      <c r="K76" s="14">
        <v>0</v>
      </c>
      <c r="L76" s="14">
        <v>0</v>
      </c>
      <c r="M76" s="14">
        <v>339016.63</v>
      </c>
      <c r="N76" s="14" t="s">
        <v>19</v>
      </c>
      <c r="O76" s="14" t="s">
        <v>19</v>
      </c>
      <c r="P76" s="14"/>
      <c r="Q76" s="14"/>
      <c r="R76" s="14"/>
      <c r="S76" s="15">
        <f t="shared" si="3"/>
        <v>774696.25</v>
      </c>
    </row>
    <row r="77" s="2" customFormat="1" spans="1:19">
      <c r="A77" s="18" t="s">
        <v>94</v>
      </c>
      <c r="B77" s="14" t="s">
        <v>19</v>
      </c>
      <c r="C77" s="14">
        <v>0</v>
      </c>
      <c r="D77" s="14">
        <v>0</v>
      </c>
      <c r="E77" s="14">
        <v>12869.09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 t="s">
        <v>19</v>
      </c>
      <c r="O77" s="14" t="s">
        <v>19</v>
      </c>
      <c r="P77" s="14">
        <v>756737.59</v>
      </c>
      <c r="Q77" s="14"/>
      <c r="R77" s="14"/>
      <c r="S77" s="15">
        <f t="shared" si="3"/>
        <v>769606.68</v>
      </c>
    </row>
    <row r="78" s="2" customFormat="1" spans="1:19">
      <c r="A78" s="18" t="s">
        <v>95</v>
      </c>
      <c r="B78" s="14" t="s">
        <v>19</v>
      </c>
      <c r="C78" s="14">
        <v>0</v>
      </c>
      <c r="D78" s="14">
        <v>0</v>
      </c>
      <c r="E78" s="14">
        <v>20041.68</v>
      </c>
      <c r="F78" s="14">
        <v>0</v>
      </c>
      <c r="G78" s="14">
        <v>0</v>
      </c>
      <c r="H78" s="14">
        <v>464955.08</v>
      </c>
      <c r="I78" s="14">
        <v>125685</v>
      </c>
      <c r="J78" s="14">
        <v>41416.24</v>
      </c>
      <c r="K78" s="14">
        <v>0</v>
      </c>
      <c r="L78" s="14">
        <v>0</v>
      </c>
      <c r="M78" s="14">
        <v>0</v>
      </c>
      <c r="N78" s="14">
        <v>77812.27</v>
      </c>
      <c r="O78" s="14" t="s">
        <v>19</v>
      </c>
      <c r="P78" s="14">
        <v>16518.75</v>
      </c>
      <c r="Q78" s="14"/>
      <c r="R78" s="14"/>
      <c r="S78" s="15">
        <f t="shared" si="3"/>
        <v>746429.02</v>
      </c>
    </row>
    <row r="79" s="2" customFormat="1" spans="1:19">
      <c r="A79" s="18" t="s">
        <v>96</v>
      </c>
      <c r="B79" s="14" t="s">
        <v>19</v>
      </c>
      <c r="C79" s="14">
        <v>0</v>
      </c>
      <c r="D79" s="14">
        <v>0</v>
      </c>
      <c r="E79" s="14">
        <v>7390</v>
      </c>
      <c r="F79" s="14">
        <v>0</v>
      </c>
      <c r="G79" s="14">
        <v>0</v>
      </c>
      <c r="H79" s="14">
        <v>10632</v>
      </c>
      <c r="I79" s="14">
        <v>0</v>
      </c>
      <c r="J79" s="14">
        <v>30129</v>
      </c>
      <c r="K79" s="14">
        <v>23976</v>
      </c>
      <c r="L79" s="14">
        <v>45968</v>
      </c>
      <c r="M79" s="14">
        <v>68640</v>
      </c>
      <c r="N79" s="14" t="s">
        <v>19</v>
      </c>
      <c r="O79" s="14">
        <v>86260</v>
      </c>
      <c r="P79" s="14"/>
      <c r="Q79" s="14"/>
      <c r="R79" s="14">
        <v>89100</v>
      </c>
      <c r="S79" s="15">
        <f t="shared" si="3"/>
        <v>362095</v>
      </c>
    </row>
    <row r="80" s="2" customFormat="1" ht="17" spans="1:19">
      <c r="A80" s="18" t="s">
        <v>97</v>
      </c>
      <c r="B80" s="14" t="s">
        <v>19</v>
      </c>
      <c r="C80" s="14">
        <v>0</v>
      </c>
      <c r="D80" s="14">
        <v>0</v>
      </c>
      <c r="E80" s="14">
        <v>0</v>
      </c>
      <c r="F80" s="14">
        <v>0</v>
      </c>
      <c r="G80" s="19" t="s">
        <v>98</v>
      </c>
      <c r="H80" s="14">
        <v>18969.26</v>
      </c>
      <c r="I80" s="14">
        <v>18492.64</v>
      </c>
      <c r="J80" s="14">
        <v>17316.6</v>
      </c>
      <c r="K80" s="14">
        <v>223955.02</v>
      </c>
      <c r="L80" s="14">
        <v>218231.71</v>
      </c>
      <c r="M80" s="14">
        <v>69029.36</v>
      </c>
      <c r="N80" s="14" t="s">
        <v>19</v>
      </c>
      <c r="O80" s="14">
        <v>36320</v>
      </c>
      <c r="P80" s="14"/>
      <c r="Q80" s="14"/>
      <c r="R80" s="14"/>
      <c r="S80" s="15">
        <f t="shared" si="3"/>
        <v>602314.59</v>
      </c>
    </row>
    <row r="81" s="2" customFormat="1" ht="17" spans="1:19">
      <c r="A81" s="18" t="s">
        <v>99</v>
      </c>
      <c r="B81" s="14" t="s">
        <v>19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9" t="s">
        <v>62</v>
      </c>
      <c r="J81" s="14">
        <v>303170.19</v>
      </c>
      <c r="K81" s="14">
        <v>215080.7</v>
      </c>
      <c r="L81" s="14">
        <v>107055.94</v>
      </c>
      <c r="M81" s="19" t="s">
        <v>62</v>
      </c>
      <c r="N81" s="19">
        <v>107540.35</v>
      </c>
      <c r="O81" s="19">
        <v>114104.33</v>
      </c>
      <c r="P81" s="19"/>
      <c r="Q81" s="19">
        <v>342906.77</v>
      </c>
      <c r="R81" s="19"/>
      <c r="S81" s="15">
        <f t="shared" si="3"/>
        <v>1189858.28</v>
      </c>
    </row>
    <row r="82" s="2" customFormat="1" spans="1:19">
      <c r="A82" s="20" t="s">
        <v>100</v>
      </c>
      <c r="B82" s="14" t="s">
        <v>19</v>
      </c>
      <c r="C82" s="14">
        <v>0</v>
      </c>
      <c r="D82" s="14">
        <v>0</v>
      </c>
      <c r="E82" s="14">
        <v>22096.1</v>
      </c>
      <c r="F82" s="14">
        <v>0</v>
      </c>
      <c r="G82" s="14">
        <v>0</v>
      </c>
      <c r="H82" s="14">
        <v>0</v>
      </c>
      <c r="I82" s="14">
        <v>167207.6</v>
      </c>
      <c r="J82" s="14">
        <v>0</v>
      </c>
      <c r="K82" s="14">
        <v>0</v>
      </c>
      <c r="L82" s="14">
        <v>0</v>
      </c>
      <c r="M82" s="14">
        <v>0</v>
      </c>
      <c r="N82" s="14" t="s">
        <v>19</v>
      </c>
      <c r="O82" s="14" t="s">
        <v>19</v>
      </c>
      <c r="P82" s="14"/>
      <c r="Q82" s="14"/>
      <c r="R82" s="14"/>
      <c r="S82" s="15">
        <f t="shared" si="3"/>
        <v>189303.7</v>
      </c>
    </row>
    <row r="83" s="2" customFormat="1" ht="17" spans="1:19">
      <c r="A83" s="18" t="s">
        <v>101</v>
      </c>
      <c r="B83" s="14" t="s">
        <v>19</v>
      </c>
      <c r="C83" s="14">
        <v>5519.35</v>
      </c>
      <c r="D83" s="14">
        <v>0</v>
      </c>
      <c r="E83" s="14">
        <v>0</v>
      </c>
      <c r="F83" s="14">
        <v>0</v>
      </c>
      <c r="G83" s="14">
        <v>102484.41</v>
      </c>
      <c r="H83" s="14">
        <v>1339632</v>
      </c>
      <c r="I83" s="19" t="s">
        <v>62</v>
      </c>
      <c r="J83" s="19" t="s">
        <v>62</v>
      </c>
      <c r="K83" s="19" t="s">
        <v>62</v>
      </c>
      <c r="L83" s="19" t="s">
        <v>62</v>
      </c>
      <c r="M83" s="19" t="s">
        <v>62</v>
      </c>
      <c r="N83" s="19" t="s">
        <v>19</v>
      </c>
      <c r="O83" s="19" t="s">
        <v>19</v>
      </c>
      <c r="P83" s="19"/>
      <c r="Q83" s="19"/>
      <c r="R83" s="19"/>
      <c r="S83" s="15">
        <f t="shared" si="3"/>
        <v>1447635.76</v>
      </c>
    </row>
    <row r="84" s="2" customFormat="1" spans="1:19">
      <c r="A84" s="18" t="s">
        <v>102</v>
      </c>
      <c r="B84" s="14" t="s">
        <v>19</v>
      </c>
      <c r="C84" s="14">
        <v>32620.35</v>
      </c>
      <c r="D84" s="14">
        <v>76114.15</v>
      </c>
      <c r="E84" s="14">
        <v>15888.5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369512</v>
      </c>
      <c r="M84" s="14">
        <v>0</v>
      </c>
      <c r="N84" s="14" t="s">
        <v>19</v>
      </c>
      <c r="O84" s="14" t="s">
        <v>19</v>
      </c>
      <c r="P84" s="14"/>
      <c r="Q84" s="14"/>
      <c r="R84" s="14"/>
      <c r="S84" s="15">
        <f t="shared" si="3"/>
        <v>494135</v>
      </c>
    </row>
    <row r="85" s="2" customFormat="1" spans="1:19">
      <c r="A85" s="18" t="s">
        <v>103</v>
      </c>
      <c r="B85" s="14" t="s">
        <v>19</v>
      </c>
      <c r="C85" s="14">
        <v>1546.74</v>
      </c>
      <c r="D85" s="14">
        <v>2247.4</v>
      </c>
      <c r="E85" s="14">
        <v>0</v>
      </c>
      <c r="F85" s="14">
        <v>4238.1</v>
      </c>
      <c r="G85" s="14">
        <v>0</v>
      </c>
      <c r="H85" s="14">
        <v>6056.7</v>
      </c>
      <c r="I85" s="14">
        <v>5492.9</v>
      </c>
      <c r="J85" s="14">
        <v>71461.61</v>
      </c>
      <c r="K85" s="14">
        <v>0</v>
      </c>
      <c r="L85" s="14">
        <v>35625.2</v>
      </c>
      <c r="M85" s="14">
        <v>0</v>
      </c>
      <c r="N85" s="14" t="s">
        <v>19</v>
      </c>
      <c r="O85" s="14">
        <v>26483.34</v>
      </c>
      <c r="P85" s="14"/>
      <c r="Q85" s="14"/>
      <c r="R85" s="14"/>
      <c r="S85" s="15">
        <f t="shared" si="3"/>
        <v>153151.99</v>
      </c>
    </row>
    <row r="86" s="2" customFormat="1" spans="1:19">
      <c r="A86" s="18" t="s">
        <v>104</v>
      </c>
      <c r="B86" s="14" t="s">
        <v>19</v>
      </c>
      <c r="C86" s="14">
        <v>0</v>
      </c>
      <c r="D86" s="14">
        <v>0</v>
      </c>
      <c r="E86" s="14">
        <v>29.56</v>
      </c>
      <c r="F86" s="14">
        <v>0</v>
      </c>
      <c r="G86" s="14">
        <v>0</v>
      </c>
      <c r="H86" s="14">
        <v>14459.52</v>
      </c>
      <c r="I86" s="14">
        <v>0</v>
      </c>
      <c r="J86" s="14">
        <v>0</v>
      </c>
      <c r="K86" s="14">
        <v>0</v>
      </c>
      <c r="L86" s="14">
        <v>0</v>
      </c>
      <c r="M86" s="14">
        <v>144144</v>
      </c>
      <c r="N86" s="14" t="s">
        <v>19</v>
      </c>
      <c r="O86" s="14" t="s">
        <v>19</v>
      </c>
      <c r="P86" s="14"/>
      <c r="Q86" s="14"/>
      <c r="R86" s="14"/>
      <c r="S86" s="15">
        <f t="shared" si="3"/>
        <v>158633.08</v>
      </c>
    </row>
    <row r="87" s="2" customFormat="1" spans="1:19">
      <c r="A87" s="18" t="s">
        <v>105</v>
      </c>
      <c r="B87" s="14" t="s">
        <v>19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46550</v>
      </c>
      <c r="J87" s="14">
        <v>0</v>
      </c>
      <c r="K87" s="14">
        <v>44400</v>
      </c>
      <c r="L87" s="14">
        <v>0</v>
      </c>
      <c r="M87" s="14">
        <v>0</v>
      </c>
      <c r="N87" s="14" t="s">
        <v>19</v>
      </c>
      <c r="O87" s="14" t="s">
        <v>19</v>
      </c>
      <c r="P87" s="14"/>
      <c r="Q87" s="14"/>
      <c r="R87" s="14"/>
      <c r="S87" s="15">
        <f t="shared" si="3"/>
        <v>90950</v>
      </c>
    </row>
    <row r="88" s="2" customFormat="1" spans="1:19">
      <c r="A88" s="18" t="s">
        <v>106</v>
      </c>
      <c r="B88" s="14" t="s">
        <v>19</v>
      </c>
      <c r="C88" s="14" t="s">
        <v>19</v>
      </c>
      <c r="D88" s="14" t="s">
        <v>19</v>
      </c>
      <c r="E88" s="14" t="s">
        <v>19</v>
      </c>
      <c r="F88" s="14" t="s">
        <v>19</v>
      </c>
      <c r="G88" s="14" t="s">
        <v>19</v>
      </c>
      <c r="H88" s="14" t="s">
        <v>19</v>
      </c>
      <c r="I88" s="14" t="s">
        <v>19</v>
      </c>
      <c r="J88" s="14" t="s">
        <v>19</v>
      </c>
      <c r="K88" s="14" t="s">
        <v>19</v>
      </c>
      <c r="L88" s="14" t="s">
        <v>19</v>
      </c>
      <c r="M88" s="14">
        <v>1495957.32</v>
      </c>
      <c r="N88" s="14" t="s">
        <v>19</v>
      </c>
      <c r="O88" s="14" t="s">
        <v>19</v>
      </c>
      <c r="P88" s="14"/>
      <c r="Q88" s="14"/>
      <c r="R88" s="14"/>
      <c r="S88" s="15">
        <f t="shared" si="3"/>
        <v>1495957.32</v>
      </c>
    </row>
    <row r="89" s="2" customFormat="1" spans="1:19">
      <c r="A89" s="18" t="s">
        <v>107</v>
      </c>
      <c r="B89" s="14" t="s">
        <v>19</v>
      </c>
      <c r="C89" s="14" t="s">
        <v>19</v>
      </c>
      <c r="D89" s="14" t="s">
        <v>19</v>
      </c>
      <c r="E89" s="14" t="s">
        <v>19</v>
      </c>
      <c r="F89" s="14" t="s">
        <v>19</v>
      </c>
      <c r="G89" s="14">
        <v>10123287.67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 t="s">
        <v>19</v>
      </c>
      <c r="O89" s="14" t="s">
        <v>19</v>
      </c>
      <c r="P89" s="14" t="s">
        <v>19</v>
      </c>
      <c r="Q89" s="14" t="s">
        <v>19</v>
      </c>
      <c r="R89" s="14" t="s">
        <v>19</v>
      </c>
      <c r="S89" s="15">
        <f t="shared" si="3"/>
        <v>10123287.67</v>
      </c>
    </row>
    <row r="90" s="2" customFormat="1" spans="1:19">
      <c r="A90" s="18" t="s">
        <v>108</v>
      </c>
      <c r="B90" s="14" t="s">
        <v>19</v>
      </c>
      <c r="C90" s="14" t="s">
        <v>19</v>
      </c>
      <c r="D90" s="14" t="s">
        <v>19</v>
      </c>
      <c r="E90" s="14" t="s">
        <v>19</v>
      </c>
      <c r="F90" s="14" t="s">
        <v>19</v>
      </c>
      <c r="G90" s="14" t="s">
        <v>19</v>
      </c>
      <c r="H90" s="14" t="s">
        <v>19</v>
      </c>
      <c r="I90" s="14" t="s">
        <v>19</v>
      </c>
      <c r="J90" s="14" t="s">
        <v>19</v>
      </c>
      <c r="K90" s="14" t="s">
        <v>19</v>
      </c>
      <c r="L90" s="14" t="s">
        <v>19</v>
      </c>
      <c r="M90" s="14">
        <v>2442427.34</v>
      </c>
      <c r="N90" s="14" t="s">
        <v>19</v>
      </c>
      <c r="O90" s="14" t="s">
        <v>19</v>
      </c>
      <c r="P90" s="14" t="s">
        <v>19</v>
      </c>
      <c r="Q90" s="14" t="s">
        <v>19</v>
      </c>
      <c r="R90" s="14" t="s">
        <v>19</v>
      </c>
      <c r="S90" s="15">
        <f t="shared" si="3"/>
        <v>2442427.34</v>
      </c>
    </row>
    <row r="91" s="2" customFormat="1" spans="1:19">
      <c r="A91" s="18" t="s">
        <v>109</v>
      </c>
      <c r="B91" s="14" t="s">
        <v>19</v>
      </c>
      <c r="C91" s="14">
        <v>0</v>
      </c>
      <c r="D91" s="14">
        <v>0</v>
      </c>
      <c r="E91" s="14">
        <v>369.5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4290</v>
      </c>
      <c r="N91" s="14" t="s">
        <v>19</v>
      </c>
      <c r="O91" s="14" t="s">
        <v>19</v>
      </c>
      <c r="P91" s="14" t="s">
        <v>19</v>
      </c>
      <c r="Q91" s="14" t="s">
        <v>19</v>
      </c>
      <c r="R91" s="14" t="s">
        <v>19</v>
      </c>
      <c r="S91" s="15">
        <f t="shared" si="3"/>
        <v>4659.5</v>
      </c>
    </row>
    <row r="92" s="2" customFormat="1" spans="1:19">
      <c r="A92" s="21" t="s">
        <v>104</v>
      </c>
      <c r="B92" s="22"/>
      <c r="C92" s="22">
        <v>0</v>
      </c>
      <c r="D92" s="22">
        <v>0</v>
      </c>
      <c r="E92" s="22">
        <v>29.56</v>
      </c>
      <c r="F92" s="22">
        <v>0</v>
      </c>
      <c r="G92" s="22">
        <v>0</v>
      </c>
      <c r="H92" s="22">
        <v>14459.52</v>
      </c>
      <c r="I92" s="22">
        <v>0</v>
      </c>
      <c r="J92" s="22">
        <v>0</v>
      </c>
      <c r="K92" s="22">
        <v>0</v>
      </c>
      <c r="L92" s="22">
        <v>0</v>
      </c>
      <c r="M92" s="22">
        <v>144144</v>
      </c>
      <c r="N92" s="22"/>
      <c r="O92" s="22"/>
      <c r="P92" s="22"/>
      <c r="Q92" s="22"/>
      <c r="R92" s="22"/>
      <c r="S92" s="15">
        <f t="shared" si="3"/>
        <v>158633.08</v>
      </c>
    </row>
    <row r="93" spans="1:19">
      <c r="A93" s="21" t="s">
        <v>105</v>
      </c>
      <c r="B93" s="22"/>
      <c r="C93" s="22">
        <v>0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46550</v>
      </c>
      <c r="J93" s="22">
        <v>0</v>
      </c>
      <c r="K93" s="22">
        <v>44400</v>
      </c>
      <c r="L93" s="22">
        <v>0</v>
      </c>
      <c r="M93" s="22">
        <v>0</v>
      </c>
      <c r="N93" s="22"/>
      <c r="O93" s="22"/>
      <c r="P93" s="22"/>
      <c r="Q93" s="22"/>
      <c r="R93" s="22"/>
      <c r="S93" s="15">
        <f t="shared" si="3"/>
        <v>90950</v>
      </c>
    </row>
    <row r="94" spans="1:19">
      <c r="A94" s="21" t="s">
        <v>106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>
        <v>1495957.32</v>
      </c>
      <c r="N94" s="22"/>
      <c r="O94" s="22"/>
      <c r="P94" s="22"/>
      <c r="Q94" s="22"/>
      <c r="R94" s="22"/>
      <c r="S94" s="15">
        <f t="shared" si="3"/>
        <v>1495957.32</v>
      </c>
    </row>
    <row r="95" spans="1:19">
      <c r="A95" s="21" t="s">
        <v>107</v>
      </c>
      <c r="B95" s="22"/>
      <c r="C95" s="22"/>
      <c r="D95" s="22"/>
      <c r="E95" s="22"/>
      <c r="F95" s="22"/>
      <c r="G95" s="22">
        <v>10123287.67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/>
      <c r="O95" s="22"/>
      <c r="P95" s="22"/>
      <c r="Q95" s="22"/>
      <c r="R95" s="22"/>
      <c r="S95" s="15">
        <f t="shared" si="3"/>
        <v>10123287.67</v>
      </c>
    </row>
    <row r="96" spans="1:19">
      <c r="A96" s="21" t="s">
        <v>110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>
        <v>56719.04</v>
      </c>
      <c r="Q96" s="22">
        <v>832069.81</v>
      </c>
      <c r="R96" s="22">
        <v>95626.78</v>
      </c>
      <c r="S96" s="15">
        <f t="shared" si="3"/>
        <v>984415.63</v>
      </c>
    </row>
    <row r="97" spans="1:19">
      <c r="A97" s="21" t="s">
        <v>108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>
        <v>2442427.34</v>
      </c>
      <c r="N97" s="22"/>
      <c r="O97" s="22"/>
      <c r="P97" s="22"/>
      <c r="Q97" s="22"/>
      <c r="R97" s="22">
        <v>6131512.4</v>
      </c>
      <c r="S97" s="15">
        <f t="shared" si="3"/>
        <v>8573939.74</v>
      </c>
    </row>
    <row r="98" spans="1:19">
      <c r="A98" s="21" t="s">
        <v>109</v>
      </c>
      <c r="B98" s="22"/>
      <c r="C98" s="22">
        <v>0</v>
      </c>
      <c r="D98" s="22">
        <v>0</v>
      </c>
      <c r="E98" s="22">
        <v>369.5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4290</v>
      </c>
      <c r="N98" s="22"/>
      <c r="O98" s="22"/>
      <c r="P98" s="22"/>
      <c r="Q98" s="22"/>
      <c r="R98" s="22"/>
      <c r="S98" s="15">
        <f t="shared" si="3"/>
        <v>4659.5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大漠孤烟</cp:lastModifiedBy>
  <dcterms:created xsi:type="dcterms:W3CDTF">2025-03-14T00:38:00Z</dcterms:created>
  <dcterms:modified xsi:type="dcterms:W3CDTF">2026-04-25T13:02:28Z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AAC9F61662FF4B29192FCB6758010EE4_41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