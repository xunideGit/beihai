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268252ED-A49A-FA4B-A5E9-FB89848FB9F4}" xr6:coauthVersionLast="47" xr6:coauthVersionMax="47" xr10:uidLastSave="{00000000-0000-0000-0000-000000000000}"/>
  <bookViews>
    <workbookView xWindow="0" yWindow="500" windowWidth="28800" windowHeight="17500" tabRatio="830" xr2:uid="{00000000-000D-0000-FFFF-FFFF00000000}"/>
  </bookViews>
  <sheets>
    <sheet name="Sheet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6" l="1"/>
</calcChain>
</file>

<file path=xl/sharedStrings.xml><?xml version="1.0" encoding="utf-8"?>
<sst xmlns="http://schemas.openxmlformats.org/spreadsheetml/2006/main" count="30" uniqueCount="30">
  <si>
    <t>Expense</t>
  </si>
  <si>
    <t>Amount</t>
  </si>
  <si>
    <t>增值税</t>
  </si>
  <si>
    <t>打卡工资</t>
  </si>
  <si>
    <t>其他支出</t>
  </si>
  <si>
    <t>财务费用</t>
  </si>
  <si>
    <t>直接人工费</t>
  </si>
  <si>
    <t>直接材料费</t>
  </si>
  <si>
    <t>机械使用费</t>
  </si>
  <si>
    <t>间接人工费</t>
  </si>
  <si>
    <t>间接办公费</t>
  </si>
  <si>
    <t>间接邮电费</t>
  </si>
  <si>
    <t>间接运输费</t>
  </si>
  <si>
    <t>间接咨询费</t>
  </si>
  <si>
    <t>间接业务费</t>
  </si>
  <si>
    <t>间接其他费</t>
  </si>
  <si>
    <t>固定资产</t>
  </si>
  <si>
    <t>垫付НИС</t>
  </si>
  <si>
    <t>垫付CM团队</t>
  </si>
  <si>
    <t>间接租赁车辆</t>
  </si>
  <si>
    <t>间接租赁房屋</t>
  </si>
  <si>
    <t>间接差旅机票</t>
  </si>
  <si>
    <t>间接差旅动迁</t>
  </si>
  <si>
    <t>其他直接场地租赁</t>
  </si>
  <si>
    <t>其他直接其他租赁</t>
  </si>
  <si>
    <t>其他直接其他</t>
  </si>
  <si>
    <t>其他直接现场资质</t>
  </si>
  <si>
    <t>本地分包成本</t>
  </si>
  <si>
    <t>国内分包成本</t>
  </si>
  <si>
    <t>归还惠生借款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</si>
</sst>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 * #,##0.00_ ;_ * \-#,##0.00_ ;_ * &quot;-&quot;??_ ;_ @_ "/>
    <numFmt numFmtId="168" formatCode="&quot;$&quot;#,##0;[Red]\-&quot;$&quot;#,##0"/>
  </numFmts>
  <fonts count="4">
    <font>
      <sz val="12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166" fontId="2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>
      <alignment vertical="center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5">
    <cellStyle name="Обычный" xfId="0" builtinId="0"/>
    <cellStyle name="千位分隔 15" xfId="2" xr:uid="{00000000-0005-0000-0000-000032000000}"/>
    <cellStyle name="千位分隔 9_资金收支情况表 (2)_1" xfId="3" xr:uid="{00000000-0005-0000-0000-000033000000}"/>
    <cellStyle name="千位分隔_资金收支表_7_资金收支情况表 (2)" xfId="4" xr:uid="{00000000-0005-0000-0000-000034000000}"/>
    <cellStyle name="常规 13 3" xfId="1" xr:uid="{00000000-0005-0000-0000-000031000000}"/>
  </cellStyles>
  <dxfs count="0"/>
  <tableStyles count="0" defaultTableStyle="TableStyleMedium2" defaultPivotStyle="PivotStyleLight16"/>
  <colors>
    <mruColors>
      <color rgb="FF008000"/>
      <color rgb="FF99CCFF"/>
      <color rgb="FF00B0F0"/>
      <color rgb="FFF2F2F2"/>
      <color rgb="FF00B050"/>
      <color rgb="FFCCFFCC"/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20" zoomScaleNormal="120" workbookViewId="0">
      <selection activeCell="G11" sqref="G11"/>
    </sheetView>
  </sheetViews>
  <sheetFormatPr baseColWidth="10" defaultColWidth="9.1640625" defaultRowHeight="15"/>
  <cols>
    <col min="1" max="1" width="17.6640625" customWidth="1"/>
    <col min="2" max="2" width="18.33203125" style="2" customWidth="1"/>
  </cols>
  <sheetData>
    <row r="1" spans="1:2" s="1" customFormat="1">
      <c r="A1" s="1" t="s">
        <v>0</v>
      </c>
      <c r="B1" s="3" t="s">
        <v>1</v>
      </c>
    </row>
    <row r="2" spans="1:2">
      <c r="A2" t="s">
        <v>6</v>
      </c>
      <c r="B2" s="4">
        <v>25190292.870000001</v>
      </c>
    </row>
    <row r="3" spans="1:2">
      <c r="A3" t="s">
        <v>7</v>
      </c>
      <c r="B3" s="4">
        <v>175739530.65000001</v>
      </c>
    </row>
    <row r="4" spans="1:2">
      <c r="A4" t="s">
        <v>8</v>
      </c>
      <c r="B4" s="4">
        <v>25775721.809999999</v>
      </c>
    </row>
    <row r="5" spans="1:2">
      <c r="A5" t="s">
        <v>27</v>
      </c>
      <c r="B5" s="4">
        <v>85103402.060000002</v>
      </c>
    </row>
    <row r="6" spans="1:2">
      <c r="A6" t="s">
        <v>28</v>
      </c>
      <c r="B6" s="4">
        <v>5525087.4699999997</v>
      </c>
    </row>
    <row r="7" spans="1:2">
      <c r="A7" t="s">
        <v>23</v>
      </c>
      <c r="B7" s="4">
        <v>2223109.4900000002</v>
      </c>
    </row>
    <row r="8" spans="1:2">
      <c r="A8" t="s">
        <v>24</v>
      </c>
      <c r="B8" s="4">
        <v>609672.07999999996</v>
      </c>
    </row>
    <row r="9" spans="1:2">
      <c r="A9" t="s">
        <v>26</v>
      </c>
      <c r="B9" s="4">
        <v>1701766.93</v>
      </c>
    </row>
    <row r="10" spans="1:2">
      <c r="A10" t="s">
        <v>25</v>
      </c>
      <c r="B10" s="4">
        <v>7848845.9000000004</v>
      </c>
    </row>
    <row r="11" spans="1:2">
      <c r="A11" t="s">
        <v>9</v>
      </c>
      <c r="B11" s="2">
        <v>21579538.34</v>
      </c>
    </row>
    <row r="12" spans="1:2">
      <c r="A12" t="s">
        <v>10</v>
      </c>
      <c r="B12" s="4">
        <v>1421124.12</v>
      </c>
    </row>
    <row r="13" spans="1:2">
      <c r="A13" t="s">
        <v>11</v>
      </c>
      <c r="B13" s="4">
        <v>99771.33</v>
      </c>
    </row>
    <row r="14" spans="1:2">
      <c r="A14" t="s">
        <v>21</v>
      </c>
      <c r="B14" s="4">
        <v>14921822.939999999</v>
      </c>
    </row>
    <row r="15" spans="1:2">
      <c r="A15" t="s">
        <v>22</v>
      </c>
      <c r="B15" s="4">
        <f>335557.9+17031529.98</f>
        <v>17367087.879999999</v>
      </c>
    </row>
    <row r="16" spans="1:2">
      <c r="A16" t="s">
        <v>12</v>
      </c>
      <c r="B16" s="4">
        <v>626935.1</v>
      </c>
    </row>
    <row r="17" spans="1:2">
      <c r="A17" t="s">
        <v>13</v>
      </c>
      <c r="B17" s="4">
        <v>936957.8</v>
      </c>
    </row>
    <row r="18" spans="1:2">
      <c r="A18" t="s">
        <v>19</v>
      </c>
      <c r="B18" s="4">
        <v>3362766.84</v>
      </c>
    </row>
    <row r="19" spans="1:2">
      <c r="A19" t="s">
        <v>20</v>
      </c>
      <c r="B19" s="4">
        <v>4703821.76</v>
      </c>
    </row>
    <row r="20" spans="1:2">
      <c r="A20" t="s">
        <v>14</v>
      </c>
      <c r="B20" s="4">
        <v>147639.10999999999</v>
      </c>
    </row>
    <row r="21" spans="1:2">
      <c r="A21" t="s">
        <v>15</v>
      </c>
      <c r="B21" s="4">
        <v>621913.57999999996</v>
      </c>
    </row>
    <row r="22" spans="1:2">
      <c r="A22" t="s">
        <v>5</v>
      </c>
      <c r="B22" s="4">
        <v>597134.62</v>
      </c>
    </row>
    <row r="23" spans="1:2">
      <c r="A23" t="s">
        <v>2</v>
      </c>
      <c r="B23" s="4">
        <v>39853743.299999997</v>
      </c>
    </row>
    <row r="24" spans="1:2">
      <c r="A24" t="s">
        <v>16</v>
      </c>
      <c r="B24" s="4">
        <v>1237518.99</v>
      </c>
    </row>
    <row r="25" spans="1:2">
      <c r="A25" t="s">
        <v>3</v>
      </c>
      <c r="B25" s="4">
        <v>12686983.109999999</v>
      </c>
    </row>
    <row r="26" spans="1:2" ht="16">
      <c r="A26" s="6" t="s">
        <v>17</v>
      </c>
      <c r="B26" s="4">
        <v>3556885.45</v>
      </c>
    </row>
    <row r="27" spans="1:2" ht="16">
      <c r="A27" s="6" t="s">
        <v>18</v>
      </c>
      <c r="B27" s="4">
        <v>5950810.9699999997</v>
      </c>
    </row>
    <row r="28" spans="1:2">
      <c r="A28" t="s">
        <v>29</v>
      </c>
      <c r="B28" s="4">
        <v>10524387.67</v>
      </c>
    </row>
    <row r="29" spans="1:2">
      <c r="A29" t="s">
        <v>4</v>
      </c>
      <c r="B29" s="4">
        <v>3316212.59</v>
      </c>
    </row>
    <row r="30" spans="1:2">
      <c r="B30" s="4"/>
    </row>
    <row r="31" spans="1:2">
      <c r="B31" s="4"/>
    </row>
    <row r="32" spans="1:2">
      <c r="B32" s="4"/>
    </row>
    <row r="33" spans="2:3">
      <c r="B33" s="4"/>
    </row>
    <row r="34" spans="2:3">
      <c r="B34" s="4"/>
    </row>
    <row r="35" spans="2:3">
      <c r="B35" s="4"/>
    </row>
    <row r="36" spans="2:3">
      <c r="B36" s="4"/>
    </row>
    <row r="37" spans="2:3">
      <c r="B37" s="4"/>
    </row>
    <row r="38" spans="2:3">
      <c r="B38" s="4"/>
    </row>
    <row r="39" spans="2:3">
      <c r="B39" s="4"/>
      <c r="C39" s="5"/>
    </row>
    <row r="40" spans="2:3">
      <c r="B40" s="4"/>
    </row>
    <row r="41" spans="2:3">
      <c r="B41" s="4"/>
    </row>
    <row r="42" spans="2:3">
      <c r="B42" s="4"/>
    </row>
    <row r="43" spans="2:3">
      <c r="B43" s="4"/>
    </row>
  </sheetData>
  <sortState xmlns:xlrd2="http://schemas.microsoft.com/office/spreadsheetml/2017/richdata2" ref="A2:B41">
    <sortCondition descending="1" ref="B2:B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dcterms:created xsi:type="dcterms:W3CDTF">2016-12-26T12:54:00Z</dcterms:created>
  <dcterms:modified xsi:type="dcterms:W3CDTF">2026-08-24T10:34:56Z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1666DCA158F040C69B1C6BC490C23613_13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