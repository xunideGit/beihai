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tabRatio="918" activeTab="6"/>
  </bookViews>
  <sheets>
    <sheet name="其他支出" sheetId="34" r:id="rId1"/>
    <sheet name="预制桩" sheetId="37" r:id="rId2"/>
    <sheet name="大宗混凝土" sheetId="49" r:id="rId3"/>
    <sheet name="桩基分包" sheetId="38" r:id="rId4"/>
    <sheet name="大宗钢材" sheetId="47" r:id="rId5"/>
    <sheet name="预制柱" sheetId="57" r:id="rId6"/>
    <sheet name="土建分包" sheetId="45" r:id="rId7"/>
    <sheet name="临设板房" sheetId="42" r:id="rId8"/>
    <sheet name="外籍薪酬" sheetId="27" r:id="rId9"/>
    <sheet name="大宗道路板" sheetId="48" r:id="rId10"/>
    <sheet name="购置车辆" sheetId="33" r:id="rId11"/>
    <sheet name="房屋租赁" sheetId="40" r:id="rId12"/>
    <sheet name="车辆通勤" sheetId="64" r:id="rId13"/>
    <sheet name="材料类支出" sheetId="36" r:id="rId14"/>
    <sheet name="增值税" sheetId="41" r:id="rId15"/>
    <sheet name="自检组织" sheetId="39" r:id="rId16"/>
    <sheet name="机械台班" sheetId="44" r:id="rId17"/>
    <sheet name="工作签证" sheetId="51" r:id="rId18"/>
    <sheet name="施工分包" sheetId="62" r:id="rId19"/>
    <sheet name="外籍劳务" sheetId="65" r:id="rId20"/>
    <sheet name="大宗地脚螺栓" sheetId="50" r:id="rId21"/>
    <sheet name="桩基测试" sheetId="46" r:id="rId22"/>
    <sheet name="预制井" sheetId="52" r:id="rId23"/>
    <sheet name="发电机" sheetId="29" r:id="rId24"/>
    <sheet name="预制场租赁" sheetId="61" r:id="rId25"/>
    <sheet name="海关费用" sheetId="53" r:id="rId26"/>
    <sheet name="低耗品" sheetId="28" r:id="rId27"/>
    <sheet name="大宗砂石" sheetId="58" r:id="rId28"/>
    <sheet name="打卡工资" sheetId="60" r:id="rId29"/>
    <sheet name="止水套管" sheetId="59" r:id="rId30"/>
    <sheet name="检测测量" sheetId="55" r:id="rId31"/>
    <sheet name="钢板桩分包" sheetId="26" r:id="rId32"/>
    <sheet name="培训费" sheetId="56" r:id="rId33"/>
    <sheet name="财务费用" sheetId="32" r:id="rId34"/>
  </sheets>
  <definedNames>
    <definedName name="_xlnm._FilterDatabase" localSheetId="13" hidden="1">材料类支出!$A$1:$G$120</definedName>
    <definedName name="_xlnm._FilterDatabase" localSheetId="17" hidden="1">工作签证!$A$1:$G$130</definedName>
    <definedName name="_xlnm._FilterDatabase" localSheetId="18" hidden="1">施工分包!$A$1:$G$63</definedName>
    <definedName name="_xlnm._FilterDatabase" localSheetId="22" hidden="1">预制井!$A$1:$G$38</definedName>
    <definedName name="_xlnm._FilterDatabase" localSheetId="19" hidden="1">外籍劳务!$A$1:$G$10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<sst xmlns="http://schemas.openxmlformats.org/spreadsheetml/2006/main" count="3535" uniqueCount="1154">
  <si>
    <r>
      <rPr>
        <sz val="12"/>
        <rFont val="宋体"/>
        <charset val="134"/>
      </rPr>
      <t>客商</t>
    </r>
  </si>
  <si>
    <t>说明</t>
  </si>
  <si>
    <t>日期</t>
  </si>
  <si>
    <t>金额</t>
  </si>
  <si>
    <t>子类</t>
  </si>
  <si>
    <t>发票</t>
  </si>
  <si>
    <t>Bank №.</t>
  </si>
  <si>
    <t>桶装水</t>
  </si>
  <si>
    <t>x</t>
  </si>
  <si>
    <t>押金</t>
  </si>
  <si>
    <t xml:space="preserve">ООО "ТД "ЧИСТАЯ ВОДА" </t>
  </si>
  <si>
    <t>彼尔姆office</t>
  </si>
  <si>
    <t>√</t>
  </si>
  <si>
    <t>ИП Жакова Ю В</t>
  </si>
  <si>
    <t>彼尔姆office清洁费</t>
  </si>
  <si>
    <t>服务费</t>
  </si>
  <si>
    <t>НИЖЕГОРОДСКИЙ</t>
  </si>
  <si>
    <t>损坏4张地毯赔款</t>
  </si>
  <si>
    <t>赔偿款</t>
  </si>
  <si>
    <t>配额网站</t>
  </si>
  <si>
    <t>当地安全主管体检预付款</t>
  </si>
  <si>
    <t>体检费</t>
  </si>
  <si>
    <t>会计师事务所</t>
  </si>
  <si>
    <t>咨询费</t>
  </si>
  <si>
    <t>类似“天眼查”的网站</t>
  </si>
  <si>
    <t>招聘网站</t>
  </si>
  <si>
    <t>招聘费</t>
  </si>
  <si>
    <t>高空作业安全培训</t>
  </si>
  <si>
    <t>培训费</t>
  </si>
  <si>
    <t>自检组织资料费</t>
  </si>
  <si>
    <t>资料费</t>
  </si>
  <si>
    <t>俄罗斯1C财务系统</t>
  </si>
  <si>
    <t>系统费</t>
  </si>
  <si>
    <t>车辆交通违章罚款</t>
  </si>
  <si>
    <t>罚款</t>
  </si>
  <si>
    <t>办公家具安装费</t>
  </si>
  <si>
    <t>彼尔姆办公室Wi-Fi</t>
  </si>
  <si>
    <t>网络费</t>
  </si>
  <si>
    <t>ООО "СИТИЛИНК"</t>
  </si>
  <si>
    <t>软件安装</t>
  </si>
  <si>
    <t>ООО "ИТ-КОМФОРТ"</t>
  </si>
  <si>
    <t>衣架50个/主过滤器</t>
  </si>
  <si>
    <t>杂品</t>
  </si>
  <si>
    <t>ЗАО "ЗУАЦ"</t>
  </si>
  <si>
    <t>焊工考试费</t>
  </si>
  <si>
    <t>ООО "Хэдхантер"</t>
  </si>
  <si>
    <t>АО "ЭР-ТЕЛЕКОМ ХОЛДИНГ"</t>
  </si>
  <si>
    <t>市区新办公室网络迁移</t>
  </si>
  <si>
    <t>ИП Карабаев Мансур Махамаджанович</t>
  </si>
  <si>
    <t>市区新办公室搬家费</t>
  </si>
  <si>
    <t>Индивидуальный предприниматель Рубцов Дмитрий Валерьевич</t>
  </si>
  <si>
    <t>1号门4月份电费</t>
  </si>
  <si>
    <t>ООО "ЭКОСЕРВИС"</t>
  </si>
  <si>
    <t>图拉Office拖欠租金</t>
  </si>
  <si>
    <t>ООО "ЦЕНТР СЕРВИСНОГО ОБСЛУЖИВАНИЯ"</t>
  </si>
  <si>
    <t>吉利937轮胎寄存费（6个月）</t>
  </si>
  <si>
    <t>ООО "ТЕРРА АВТО"</t>
  </si>
  <si>
    <t>吉利937换轮胎</t>
  </si>
  <si>
    <t>吉利937保养费</t>
  </si>
  <si>
    <t xml:space="preserve">АО "ЭР-ТЕЛЕКОМ ХОЛДИНГ" </t>
  </si>
  <si>
    <t>办公室网费</t>
  </si>
  <si>
    <t>ООО "БУМАТИКА"</t>
  </si>
  <si>
    <t>现场垃圾清运30360卢布</t>
  </si>
  <si>
    <t>ООО"ТД"Чистая вода"</t>
  </si>
  <si>
    <t>支付桶装水预付款</t>
  </si>
  <si>
    <t>首保</t>
  </si>
  <si>
    <t>车辆费</t>
  </si>
  <si>
    <t>上牌</t>
  </si>
  <si>
    <t>保险</t>
  </si>
  <si>
    <t>交强险</t>
  </si>
  <si>
    <t xml:space="preserve">ООО "ТЕРРА АВТО" </t>
  </si>
  <si>
    <t>吉利378保养</t>
  </si>
  <si>
    <t>715办公室宽带费</t>
  </si>
  <si>
    <t>ИП Жакова Юлия Вячеславовна</t>
  </si>
  <si>
    <t>市区办公室清洁费5月</t>
  </si>
  <si>
    <t>АССОЦИАЦИЯ СРОС "СЛО"</t>
  </si>
  <si>
    <t>自监组织会费11000+会员费8000</t>
  </si>
  <si>
    <t>ИП Мульков Игорь Викторович</t>
  </si>
  <si>
    <t>704家具维修费</t>
  </si>
  <si>
    <t>市区办公室清洁费4月</t>
  </si>
  <si>
    <t>715办公室网络、设备维护费</t>
  </si>
  <si>
    <t>Управление  Федерального казначейства по Пермскому краю (ГУ МВД России по Пермскому краю,л/с 04561146500)</t>
  </si>
  <si>
    <t>车辆牌照-客车</t>
  </si>
  <si>
    <t>车辆牌照-货车</t>
  </si>
  <si>
    <t>ИП Горячев Сергей Александрович</t>
  </si>
  <si>
    <t>车辆上牌-客车</t>
  </si>
  <si>
    <t>车辆上牌-货车</t>
  </si>
  <si>
    <t>ПАО СК "РОСГОССТРАХ"</t>
  </si>
  <si>
    <t>车辆保险费</t>
  </si>
  <si>
    <t>ООО "ХЭДХАНТЕР"</t>
  </si>
  <si>
    <t>HH网络招聘费</t>
  </si>
  <si>
    <t>公司借记卡备用金</t>
  </si>
  <si>
    <t>备用金</t>
  </si>
  <si>
    <t>ООО "КОНСАЛТИКАПЛЮС"</t>
  </si>
  <si>
    <t>天眼查2025.05～10</t>
  </si>
  <si>
    <t>ИП Зубарев Иван Васильевич</t>
  </si>
  <si>
    <t>编写施工方案</t>
  </si>
  <si>
    <t>焊工换证费</t>
  </si>
  <si>
    <t>ИСПЫТАТЕЛЬНАЯ ЛАБОРАТОРИЯ ОРГТЕХСТРОЯ  ООО</t>
  </si>
  <si>
    <t>土建实验室实验资料费</t>
  </si>
  <si>
    <t>伊利亚斯换证</t>
  </si>
  <si>
    <t>ООО  "АКТИОН 360 ГРОСС СИСТЕМ"</t>
  </si>
  <si>
    <t>技术规范网站一年</t>
  </si>
  <si>
    <t>ООО "СИМПЛ"</t>
  </si>
  <si>
    <t>计量器具检测款</t>
  </si>
  <si>
    <t>自检组织7月</t>
  </si>
  <si>
    <t>吉利车保养</t>
  </si>
  <si>
    <t>ООО "СЛ КВАДР"</t>
  </si>
  <si>
    <t>混凝土试块检测</t>
  </si>
  <si>
    <t>ООО "ЛИКАРД"</t>
  </si>
  <si>
    <t>卢克加油站充值</t>
  </si>
  <si>
    <t>油料费</t>
  </si>
  <si>
    <t>ООО "ЦСЗ "ЮНОНА"</t>
  </si>
  <si>
    <t>卢克进场体检</t>
  </si>
  <si>
    <t>电气接地方案</t>
  </si>
  <si>
    <t>ООО "ВОСТОК МОТОРС ПРИКАМЬЕ"</t>
  </si>
  <si>
    <t>奇瑞601保养费用</t>
  </si>
  <si>
    <t>ООО ТПК "ВЕРЕНД"</t>
  </si>
  <si>
    <t>办公室窗帘</t>
  </si>
  <si>
    <t>ИП Фэй Юньшуан</t>
  </si>
  <si>
    <t>工人盒饭</t>
  </si>
  <si>
    <t>后勤费</t>
  </si>
  <si>
    <t>ООО "1С: ФРАНЧАЙЗИ  А-СОФТ"</t>
  </si>
  <si>
    <t>1C系统调试费</t>
  </si>
  <si>
    <t>ИП Волегов Александр Андреевич</t>
  </si>
  <si>
    <t>货车保养费</t>
  </si>
  <si>
    <t>ООО "ТД "ЧИСТАЯ ВОДА"</t>
  </si>
  <si>
    <t>Казначейство России (ФНС России)</t>
  </si>
  <si>
    <t>Q2车辆税</t>
  </si>
  <si>
    <t>税费</t>
  </si>
  <si>
    <t>715清洁费</t>
  </si>
  <si>
    <t>吉利车刹车保养费用</t>
  </si>
  <si>
    <t>支付7月16-31 工人餐费</t>
  </si>
  <si>
    <t>Минфин Пермского края  (ГБУЗ ПК "ПЦРБ",л/с 208200594)</t>
  </si>
  <si>
    <t>预付司机6月体检费8010</t>
  </si>
  <si>
    <t>预付司机7月体检费8010</t>
  </si>
  <si>
    <t>预付司机8月体检费8010</t>
  </si>
  <si>
    <t>ПАО "МТС"</t>
  </si>
  <si>
    <t>支付网卡费用预付</t>
  </si>
  <si>
    <t>80人卢克体检费用184000</t>
  </si>
  <si>
    <t>ООО "ОДЕССА"</t>
  </si>
  <si>
    <t>俄罗斯建设者日活动经费</t>
  </si>
  <si>
    <t>团建费</t>
  </si>
  <si>
    <t>代写施工方案</t>
  </si>
  <si>
    <t>油卡充值</t>
  </si>
  <si>
    <t>侯吉儒备用金</t>
  </si>
  <si>
    <t>市区办公室08月份宽带费</t>
  </si>
  <si>
    <t>司机07月体检费</t>
  </si>
  <si>
    <t>1号门5月份电费</t>
  </si>
  <si>
    <t>水电费</t>
  </si>
  <si>
    <t>工人餐费08月01日-15日</t>
  </si>
  <si>
    <t>市区办公室03月清洁费</t>
  </si>
  <si>
    <t>ОБЩЕСТВО С ОГРАНИЧЕННОЙ ОТВЕТСТВЕННОСТЬЮ "ТЕХСНАБ СЕРВИС"</t>
  </si>
  <si>
    <t>电脑维护费</t>
  </si>
  <si>
    <t>1号门办公室07月电费</t>
  </si>
  <si>
    <t>ООО "СМАРТНЕТ ГЕОСИСТЕМС"</t>
  </si>
  <si>
    <t>SmartNet网络费</t>
  </si>
  <si>
    <t>8月16-27日工人餐费</t>
  </si>
  <si>
    <t>HH网站招聘费</t>
  </si>
  <si>
    <t>大件设备卸车方案</t>
  </si>
  <si>
    <t>办公室电脑维护</t>
  </si>
  <si>
    <t>ИП Чертков Эдуард Валерьевич</t>
  </si>
  <si>
    <t>中巴车牌照</t>
  </si>
  <si>
    <t>ООО "БИОТРАНССЕРВИС"</t>
  </si>
  <si>
    <t>现场临时厕所租赁费</t>
  </si>
  <si>
    <t>厕所清理</t>
  </si>
  <si>
    <t>ИП Смирнов Алексей Андреевич</t>
  </si>
  <si>
    <t>打印机维修</t>
  </si>
  <si>
    <t>脚手架搭设方案代写</t>
  </si>
  <si>
    <t>ИП Михайличенко Елена Александровна</t>
  </si>
  <si>
    <t>垫付利佩茨克</t>
  </si>
  <si>
    <t>其他</t>
  </si>
  <si>
    <t>1C系统调试</t>
  </si>
  <si>
    <t>ИП Сайфетдинова Кристина Сергеевна</t>
  </si>
  <si>
    <t>修打印机</t>
  </si>
  <si>
    <t>АО "ПФ "СКБ КОНТУР"</t>
  </si>
  <si>
    <t>电子发票</t>
  </si>
  <si>
    <t>715网费</t>
  </si>
  <si>
    <t>УФК по Пермскому краю (ЗАПАДНО-УРАЛЬСКОЕ УПРАВЛЕНИЕ РОСТЕХНАДЗОРА л. сч. 04561203410)</t>
  </si>
  <si>
    <t>ИП Сунь Бин</t>
  </si>
  <si>
    <t>食堂采购</t>
  </si>
  <si>
    <t>ООО "ЛУКОЙЛ-ПЕРМНЕФТЕОРГСИНТЕЗ"</t>
  </si>
  <si>
    <t>安全罚款</t>
  </si>
  <si>
    <t>现场彩色打印机墨粉</t>
  </si>
  <si>
    <t>MTC手机流量费</t>
  </si>
  <si>
    <t>ООО "ДЕМИДЫЧ"</t>
  </si>
  <si>
    <t>奇瑞车保养费（车牌948）</t>
  </si>
  <si>
    <t>08月份司机常规体检费-客商пцрб</t>
  </si>
  <si>
    <t>533车牌租金</t>
  </si>
  <si>
    <t>转盘垃圾清运</t>
  </si>
  <si>
    <t>办公室电脑维护费</t>
  </si>
  <si>
    <t>吉利车更换冬胎</t>
  </si>
  <si>
    <t>АО "ПОЧТА РОССИИ"</t>
  </si>
  <si>
    <t>邮政服务预存款</t>
  </si>
  <si>
    <t>1号门9月份电费</t>
  </si>
  <si>
    <t>ООО "БРОКЕРФИНАНССЕРВИС"</t>
  </si>
  <si>
    <t>车胎寄存</t>
  </si>
  <si>
    <t>显示器、墨盒</t>
  </si>
  <si>
    <t>ООО "МОТЕКС"</t>
  </si>
  <si>
    <t>中巴座椅套</t>
  </si>
  <si>
    <t>货车更换冬胎</t>
  </si>
  <si>
    <t>ООО "ШИНТОРГ"</t>
  </si>
  <si>
    <t>中巴、货车冬胎</t>
  </si>
  <si>
    <t>加墨</t>
  </si>
  <si>
    <t>Q3车辆税</t>
  </si>
  <si>
    <t>ИП Кучукбаева Наталья Аркадьевна</t>
  </si>
  <si>
    <t>车辆更换冬胎</t>
  </si>
  <si>
    <t>1C系统程序费</t>
  </si>
  <si>
    <t>市区办公室清洁</t>
  </si>
  <si>
    <t>1号门10月份电费</t>
  </si>
  <si>
    <t>小巴车牌照租赁</t>
  </si>
  <si>
    <t>АО "АЛЬФАСТРАХОВАНИЕ"</t>
  </si>
  <si>
    <t>937保险费</t>
  </si>
  <si>
    <t>САО "РЕСО-ГАРАНТИЯ"</t>
  </si>
  <si>
    <t>吉利937第三者责任险</t>
  </si>
  <si>
    <t>937保养费</t>
  </si>
  <si>
    <t>打印机加墨</t>
  </si>
  <si>
    <t>办公费</t>
  </si>
  <si>
    <t>ООО "ДНС РИТЕЙЛ"</t>
  </si>
  <si>
    <t>办公用品</t>
  </si>
  <si>
    <t>市区办公室电话卡</t>
  </si>
  <si>
    <t>ИП Миллер Александр Эдуардович</t>
  </si>
  <si>
    <t>715租金нис（12月）</t>
  </si>
  <si>
    <t>租赁费</t>
  </si>
  <si>
    <t>715租金（12月）</t>
  </si>
  <si>
    <t>АО "САДКО ОТЕЛЬ"</t>
  </si>
  <si>
    <t>胡总住宿费</t>
  </si>
  <si>
    <t>差旅费</t>
  </si>
  <si>
    <t>ООО "ТРУДЭКСПЕРТ"</t>
  </si>
  <si>
    <t>安全评估</t>
  </si>
  <si>
    <t>АО "УК "ОТЕЛЬ МЕНЕДЖМЕНТ"</t>
  </si>
  <si>
    <t>马胜胜住宿费</t>
  </si>
  <si>
    <t>8月食材</t>
  </si>
  <si>
    <t>ООО "САМСОН-ПЕРМЬ"</t>
  </si>
  <si>
    <t>零星办公用品</t>
  </si>
  <si>
    <t>客商</t>
  </si>
  <si>
    <t>202501'</t>
  </si>
  <si>
    <t xml:space="preserve">ООО "ЖЕЛЕЗОБЕТОН" </t>
  </si>
  <si>
    <t>202412'</t>
  </si>
  <si>
    <t xml:space="preserve">158 </t>
  </si>
  <si>
    <t xml:space="preserve">190 </t>
  </si>
  <si>
    <t>202502'</t>
  </si>
  <si>
    <t xml:space="preserve">115 </t>
  </si>
  <si>
    <t xml:space="preserve">116 </t>
  </si>
  <si>
    <t xml:space="preserve">170 </t>
  </si>
  <si>
    <t>202503'</t>
  </si>
  <si>
    <t>225</t>
  </si>
  <si>
    <t>232</t>
  </si>
  <si>
    <t>202505'</t>
  </si>
  <si>
    <t>542</t>
  </si>
  <si>
    <t>202506'</t>
  </si>
  <si>
    <t>ооо "АКБ-ГРАД"</t>
  </si>
  <si>
    <t>002/003单元分包混凝土</t>
  </si>
  <si>
    <t>001/002/003/008/012单元混凝土</t>
  </si>
  <si>
    <t>混凝土货款</t>
  </si>
  <si>
    <t>ООО "АКБ-ГРАД"</t>
  </si>
  <si>
    <t>备料款</t>
  </si>
  <si>
    <t>进度款202411-202501</t>
  </si>
  <si>
    <t>=17836280-17108090*0.25'</t>
  </si>
  <si>
    <t>进度款202502</t>
  </si>
  <si>
    <t>=15964800-17108090*0.25'</t>
  </si>
  <si>
    <t>进度款202503</t>
  </si>
  <si>
    <t>进度款202504</t>
  </si>
  <si>
    <r>
      <rPr>
        <sz val="12"/>
        <rFont val="宋体"/>
        <charset val="134"/>
      </rPr>
      <t>子类</t>
    </r>
  </si>
  <si>
    <t xml:space="preserve">ООО "Металлсервис-Москва" </t>
  </si>
  <si>
    <t>270</t>
  </si>
  <si>
    <t>МЕТИЗКОМПЛЕКТ</t>
  </si>
  <si>
    <t>现场钢筋加工棚用钢结构</t>
  </si>
  <si>
    <t>vtb447</t>
  </si>
  <si>
    <t>ООО "Металлсервис-Москва"</t>
  </si>
  <si>
    <t>支付地管及临建零星钢材费用</t>
  </si>
  <si>
    <t>vtb469</t>
  </si>
  <si>
    <t xml:space="preserve">ООО "Транстехком" </t>
  </si>
  <si>
    <t>支付围墙立柱及方钢费用</t>
  </si>
  <si>
    <t>005 008 012 014 013单元钢筋</t>
  </si>
  <si>
    <t>685</t>
  </si>
  <si>
    <t>ИП Буламбаева Айнагуль Себигатовна</t>
  </si>
  <si>
    <t>001/002/003/024钢筋及角钢</t>
  </si>
  <si>
    <t>ООО "МЕТАЛЛСЕРВИС-МОСКВА"</t>
  </si>
  <si>
    <t>5个单元钢筋</t>
  </si>
  <si>
    <t>АО "ПЕРММЕТАЛЛ"</t>
  </si>
  <si>
    <t>钢筋货款</t>
  </si>
  <si>
    <t>钢筋预付款</t>
  </si>
  <si>
    <t>684</t>
  </si>
  <si>
    <t>ООО "СТРОИТЕЛЬНЫЙ КОМПЛЕКС"</t>
  </si>
  <si>
    <t>预制柱80%预付款</t>
  </si>
  <si>
    <t>预制柱尾款</t>
  </si>
  <si>
    <t xml:space="preserve">ООО "ИНКОМ" </t>
  </si>
  <si>
    <t>15%预付款，合同额63,495,300.00卢布</t>
  </si>
  <si>
    <t>234</t>
  </si>
  <si>
    <t>土建分包-新增001区域预付款</t>
  </si>
  <si>
    <t>551</t>
  </si>
  <si>
    <t>土建分包进度款</t>
  </si>
  <si>
    <t>669</t>
  </si>
  <si>
    <t>ООО СК "УРАЛ ЕКАТЕРИНБУРГ СТРОЙ"</t>
  </si>
  <si>
    <t>020、022区域预付款</t>
  </si>
  <si>
    <t>ООО "ТСИ-ПЕРМЬ"</t>
  </si>
  <si>
    <t>014区域分包预付款</t>
  </si>
  <si>
    <t>014区域分包预付款-混凝土</t>
  </si>
  <si>
    <t>新增024区域预付款</t>
  </si>
  <si>
    <t>ООО "ЛЕД 59"</t>
  </si>
  <si>
    <t>005区域分包预付款</t>
  </si>
  <si>
    <t>路面硬化预付款</t>
  </si>
  <si>
    <t>土建分包 进度款（6月）</t>
  </si>
  <si>
    <t>土建分包 进度款（7月）</t>
  </si>
  <si>
    <t>分包07月份进度款</t>
  </si>
  <si>
    <t>ООО ПСК "ГАРАНТ"</t>
  </si>
  <si>
    <t>010土建分包预付款</t>
  </si>
  <si>
    <t>ООО "ИНКОМ"</t>
  </si>
  <si>
    <t>土建分包 进度款（8月）</t>
  </si>
  <si>
    <t>59分包</t>
  </si>
  <si>
    <t>014区域分包进度款</t>
  </si>
  <si>
    <t>ООО СТРОЙИНЖИНИРИНГ</t>
  </si>
  <si>
    <t>013单元土建</t>
  </si>
  <si>
    <t>土建分包020进度（09月份）</t>
  </si>
  <si>
    <t>инком ООО "ТЕХПОРТ"</t>
  </si>
  <si>
    <t>土建分包Инком进度款</t>
  </si>
  <si>
    <t>土建分包进度款 010</t>
  </si>
  <si>
    <t>ООО "ПЕРМЬТЕХСПЕЦ"</t>
  </si>
  <si>
    <t>土建分包进度款 008</t>
  </si>
  <si>
    <t>土建分包进度款 013</t>
  </si>
  <si>
    <t>土建分包-ПЕРМЬТЕХСПЕЦ</t>
  </si>
  <si>
    <t>土建分包-Гарант</t>
  </si>
  <si>
    <t xml:space="preserve">ООО "ЗАВОД СТРОЙДЕТАЛЬ" </t>
  </si>
  <si>
    <t>集装箱板房款705000</t>
  </si>
  <si>
    <t>四个集装箱办公室</t>
  </si>
  <si>
    <t>加工制作吸烟棚</t>
  </si>
  <si>
    <t>集装箱板房6*2.4*2.45</t>
  </si>
  <si>
    <t xml:space="preserve">ООО "ЭЛКМЭН ЯРОСЛАВЛЬ" </t>
  </si>
  <si>
    <t>临时厕所租赁费</t>
  </si>
  <si>
    <t xml:space="preserve">ООО "ВЕКТОР" </t>
  </si>
  <si>
    <t>租赁临时厕所-2个月</t>
  </si>
  <si>
    <t xml:space="preserve">ИП Городничев Сергей Николаевич </t>
  </si>
  <si>
    <t>两个6米海运集装箱</t>
  </si>
  <si>
    <t>二手海运集装箱</t>
  </si>
  <si>
    <t>120</t>
  </si>
  <si>
    <t>4个临时厕所租赁费（4月份）</t>
  </si>
  <si>
    <t xml:space="preserve">ООО "Вершина" </t>
  </si>
  <si>
    <t>围挡压型板</t>
  </si>
  <si>
    <t>VTB436</t>
  </si>
  <si>
    <t>ООО "СИСТЕМА СТРОЙ"</t>
  </si>
  <si>
    <t>现场办公室80%预付款</t>
  </si>
  <si>
    <t>现场办公室板房</t>
  </si>
  <si>
    <t>687</t>
  </si>
  <si>
    <t>临时厕所租赁费5月</t>
  </si>
  <si>
    <t>二手集装箱11间</t>
  </si>
  <si>
    <t>现场厕所租赁费（6月）</t>
  </si>
  <si>
    <t>ООО "СМЗ"</t>
  </si>
  <si>
    <t>化粪池70%预付款</t>
  </si>
  <si>
    <t>临时厕所-化粪池</t>
  </si>
  <si>
    <t>办公室板房尾款</t>
  </si>
  <si>
    <t>ИП Фэй Юнься</t>
  </si>
  <si>
    <t>二手集装箱2间</t>
  </si>
  <si>
    <t>薪酬</t>
  </si>
  <si>
    <t>工伤</t>
  </si>
  <si>
    <t>个税</t>
  </si>
  <si>
    <t>社保</t>
  </si>
  <si>
    <t>Светлана</t>
  </si>
  <si>
    <t>Светлана离职工资</t>
  </si>
  <si>
    <t>Светлана离职个税</t>
  </si>
  <si>
    <t>222</t>
  </si>
  <si>
    <t>223</t>
  </si>
  <si>
    <t>224</t>
  </si>
  <si>
    <t xml:space="preserve">Казначейство России (ФНС России) </t>
  </si>
  <si>
    <t>424</t>
  </si>
  <si>
    <t>394-427</t>
  </si>
  <si>
    <t>vtb-435</t>
  </si>
  <si>
    <t>vtb-438/467</t>
  </si>
  <si>
    <t>vtb</t>
  </si>
  <si>
    <t>三俄籍休假工资</t>
  </si>
  <si>
    <t>俄籍薪酬7月上</t>
  </si>
  <si>
    <t>离职</t>
  </si>
  <si>
    <t>休假</t>
  </si>
  <si>
    <t>俄籍员工奖金</t>
  </si>
  <si>
    <t>俄籍休假工资</t>
  </si>
  <si>
    <t>俄籍员工离职工资</t>
  </si>
  <si>
    <t>缴纳2025年08月01-22日个税</t>
  </si>
  <si>
    <t>Бабкин Сергей Викторович</t>
  </si>
  <si>
    <t>谢尔盖离职工资</t>
  </si>
  <si>
    <t>УФК по Пермскому краю (Отдел судебных приставов по г. Чусовому и Горнозаводскому району ГУФССП России по Пермскому краю, л/с 05561А94200)</t>
  </si>
  <si>
    <t>8月下工资</t>
  </si>
  <si>
    <t>Добролюбов Константин Игоревич</t>
  </si>
  <si>
    <t>УФК по Пермскому краю (Отдел судебных приставов по г. Кизелу и г.Александровску ГУФССП России по Пермскому краю, л/с 05561А94190)</t>
  </si>
  <si>
    <t>Белоусова Евгения Владимировна</t>
  </si>
  <si>
    <t>Мерзляков Николай Владимирович</t>
  </si>
  <si>
    <t>Щелева Ольга Валерьевна</t>
  </si>
  <si>
    <t>Коростин Анатолий Владимирович</t>
  </si>
  <si>
    <t>Филиал № 6318 Банка ВТБ (ПАО) г.Самара</t>
  </si>
  <si>
    <t>玛丽娜离职工资</t>
  </si>
  <si>
    <t>УФК по Пермскому краю (ОСФР по Пермскому краю,л/с 04564Ф56010)</t>
  </si>
  <si>
    <t>工伤保险</t>
  </si>
  <si>
    <t>俄籍员工休假工资</t>
  </si>
  <si>
    <t>俄籍员工9月上</t>
  </si>
  <si>
    <t>俄籍病假工资</t>
  </si>
  <si>
    <t>泽拉塔休假工资</t>
  </si>
  <si>
    <t>个税0801-0822</t>
  </si>
  <si>
    <t>俄籍离职工资</t>
  </si>
  <si>
    <t>Литвинова Ольга Александровна</t>
  </si>
  <si>
    <t>俄籍加班工资</t>
  </si>
  <si>
    <t>俄籍9月下</t>
  </si>
  <si>
    <t>УФК по Пермскому краю (Отдел судебных приставов по Ленинскому и Индустриальному районам г.Перми)</t>
  </si>
  <si>
    <t>俄籍员工病假工资-Игорь</t>
  </si>
  <si>
    <t>俄籍员工病假工资-Денис</t>
  </si>
  <si>
    <t>俄籍员工解雇工资-Артур</t>
  </si>
  <si>
    <t>俄籍员工休假工资-Надежда</t>
  </si>
  <si>
    <t>俄籍社保</t>
  </si>
  <si>
    <t>俄籍工伤</t>
  </si>
  <si>
    <t>俄籍员工加班工资-Ольга</t>
  </si>
  <si>
    <t>俄籍员工Зарплата病假工资</t>
  </si>
  <si>
    <t>俄籍员工10月上</t>
  </si>
  <si>
    <t>个税1001-1022</t>
  </si>
  <si>
    <t>俄籍成本工程师离职</t>
  </si>
  <si>
    <t>个税10月下</t>
  </si>
  <si>
    <t>俄籍员工</t>
  </si>
  <si>
    <t>俄籍离职员工</t>
  </si>
  <si>
    <t>俄籍工程师休假工资-Дмитрий</t>
  </si>
  <si>
    <t>3名俄籍员工离职工资</t>
  </si>
  <si>
    <t>个税1101～1122</t>
  </si>
  <si>
    <t>俄籍11月上工资</t>
  </si>
  <si>
    <t>俄籍离职</t>
  </si>
  <si>
    <t>俄籍工资12下</t>
  </si>
  <si>
    <t>俄籍12上</t>
  </si>
  <si>
    <t>俄籍司机休假</t>
  </si>
  <si>
    <t>俄籍员工11下</t>
  </si>
  <si>
    <t>12月个税（1201～1222）</t>
  </si>
  <si>
    <t>个税1123-1130</t>
  </si>
  <si>
    <t>155</t>
  </si>
  <si>
    <t xml:space="preserve">АО "ПТЖБ" </t>
  </si>
  <si>
    <t>10块道路板*32000</t>
  </si>
  <si>
    <t>268</t>
  </si>
  <si>
    <t>253块道路板*31500</t>
  </si>
  <si>
    <t>695</t>
  </si>
  <si>
    <t>220块道路板*31500</t>
  </si>
  <si>
    <t>243块临建道路板</t>
  </si>
  <si>
    <t>АО "ПТЖБ"</t>
  </si>
  <si>
    <t>路基板</t>
  </si>
  <si>
    <t>车款</t>
  </si>
  <si>
    <t>支付中巴车款</t>
  </si>
  <si>
    <t>ООО "ГРУЗАВТОИМПОРТ"</t>
  </si>
  <si>
    <t>支付货车款</t>
  </si>
  <si>
    <t>大巴车安装摄像头</t>
  </si>
  <si>
    <t>ООО "ТАХОГРАФ МАСТЕР"</t>
  </si>
  <si>
    <t>购置灯车</t>
  </si>
  <si>
    <t>大巴车行车记录仪</t>
  </si>
  <si>
    <t>202501</t>
  </si>
  <si>
    <t>Office租赁</t>
  </si>
  <si>
    <t>202412</t>
  </si>
  <si>
    <t>202502</t>
  </si>
  <si>
    <t>2024.11-2025.04
（20000卢布/月）</t>
  </si>
  <si>
    <t>注册地</t>
  </si>
  <si>
    <t>2025年2月17日-2月28日
（11800/天）</t>
  </si>
  <si>
    <t>别墅租赁</t>
  </si>
  <si>
    <t xml:space="preserve">Юлдашев Мухаммад-Али Бахтиёрович </t>
  </si>
  <si>
    <t>3月租金；63.3万/月(含税)，后续季度支付</t>
  </si>
  <si>
    <t>PERM租房转盘</t>
  </si>
  <si>
    <t>房东个税</t>
  </si>
  <si>
    <t>ИП Коляденкова Ю С</t>
  </si>
  <si>
    <t>202503</t>
  </si>
  <si>
    <t>ИП Чудинова С З</t>
  </si>
  <si>
    <t>2025年3月（11800/天）</t>
  </si>
  <si>
    <t>2025年4月（11800/天）</t>
  </si>
  <si>
    <t>4月房屋租金（仍按月支付）</t>
  </si>
  <si>
    <t>202504</t>
  </si>
  <si>
    <t>432</t>
  </si>
  <si>
    <t>别墅租金5月份</t>
  </si>
  <si>
    <t>vtb-473</t>
  </si>
  <si>
    <t>5月房屋租金（仍按月支付）</t>
  </si>
  <si>
    <t>别墅租金6月份</t>
  </si>
  <si>
    <t>670</t>
  </si>
  <si>
    <t>202505</t>
  </si>
  <si>
    <t>557</t>
  </si>
  <si>
    <t>彼尔姆新办公室715租金押金64192</t>
  </si>
  <si>
    <t>591</t>
  </si>
  <si>
    <t>彼尔姆新办公室715租金押金99008</t>
  </si>
  <si>
    <t>590</t>
  </si>
  <si>
    <t xml:space="preserve">Индивидуальный предприниматель Рубцов Дмитрий Валерьевич </t>
  </si>
  <si>
    <t>2025.05-2025.10彼尔姆注册地房租（20000卢布/月）</t>
  </si>
  <si>
    <t>ИП Самонов Андрей Александрович</t>
  </si>
  <si>
    <t>新租125人营地房租（3+1）</t>
  </si>
  <si>
    <t>125人营地</t>
  </si>
  <si>
    <t>686</t>
  </si>
  <si>
    <t>202506十天704</t>
  </si>
  <si>
    <t>6月房屋租金（仍按月支付）</t>
  </si>
  <si>
    <t>6月房屋租金（仍按月支付）补</t>
  </si>
  <si>
    <t>6月房屋租金（仍按月支付）个税</t>
  </si>
  <si>
    <t>别墅租金7月份</t>
  </si>
  <si>
    <t>7月房屋租金（仍按月支付）</t>
  </si>
  <si>
    <t>715租金99008-新公司</t>
  </si>
  <si>
    <t>彼尔姆新办公室715租金</t>
  </si>
  <si>
    <t>工人宿舍125人营地房租</t>
  </si>
  <si>
    <t>8月房屋租金（仍按月支付）</t>
  </si>
  <si>
    <t>别墅租金8月份</t>
  </si>
  <si>
    <t>ООО "ДОЛ ЗАРЯ"</t>
  </si>
  <si>
    <t>夏令营08月份租金</t>
  </si>
  <si>
    <t>夏令营</t>
  </si>
  <si>
    <t>工人宿舍第三层10月份租金</t>
  </si>
  <si>
    <t>715租金（8/9/10月）</t>
  </si>
  <si>
    <t>夏令营租金</t>
  </si>
  <si>
    <t>НИС办公室房租（8/9/10月）</t>
  </si>
  <si>
    <t>ИП Заидов Захир Бахлул Оглы</t>
  </si>
  <si>
    <t>商店二楼租金押金</t>
  </si>
  <si>
    <t>715租金（10月）</t>
  </si>
  <si>
    <t>工人宿舍125人营地房租1015-1115</t>
  </si>
  <si>
    <t>夏令营10月份租金</t>
  </si>
  <si>
    <t>1号门租金11、12、01</t>
  </si>
  <si>
    <t>715租金（11月）</t>
  </si>
  <si>
    <t>商店二楼租金11、12</t>
  </si>
  <si>
    <t>715租金нис（11月）</t>
  </si>
  <si>
    <t>夏令营11月份租金</t>
  </si>
  <si>
    <t>夏令营12月房租</t>
  </si>
  <si>
    <t>ИП Овсянникова Светлана Анатольевна</t>
  </si>
  <si>
    <t>通勤车租赁费</t>
  </si>
  <si>
    <t>车辆租赁</t>
  </si>
  <si>
    <t>通勤车09月份租赁费</t>
  </si>
  <si>
    <t>大巴车租赁费1023500</t>
  </si>
  <si>
    <t>通勤车租赁费（1001-1020）</t>
  </si>
  <si>
    <t xml:space="preserve">ООО "МБМ-Сервис" </t>
  </si>
  <si>
    <t>防毒面具</t>
  </si>
  <si>
    <t>五金配件</t>
  </si>
  <si>
    <t xml:space="preserve">ООО "ВСЕИНСТРУМЕНТЫ.РУ" </t>
  </si>
  <si>
    <t>购照明灯</t>
  </si>
  <si>
    <t>五金电动工具</t>
  </si>
  <si>
    <t xml:space="preserve">ООО "ТЕХНОАВИА-ПЕРМЬ" </t>
  </si>
  <si>
    <t>劳保鞋服</t>
  </si>
  <si>
    <t>劳保用品</t>
  </si>
  <si>
    <t xml:space="preserve">АО "МЕТАЛЛОТОРГ" </t>
  </si>
  <si>
    <t>架子管</t>
  </si>
  <si>
    <t>ИП Величко Нина Юрьевна</t>
  </si>
  <si>
    <t>道路标识牌</t>
  </si>
  <si>
    <t>标牌支架</t>
  </si>
  <si>
    <t xml:space="preserve">ООО "ФЕНИКС" </t>
  </si>
  <si>
    <t>制作项目信息牌</t>
  </si>
  <si>
    <t>五金材料-安防用品</t>
  </si>
  <si>
    <t>饮水机等 / 安防用品等</t>
  </si>
  <si>
    <t>土建角磨机切割片</t>
  </si>
  <si>
    <t>工具机具</t>
  </si>
  <si>
    <t>土建工机具</t>
  </si>
  <si>
    <t>土建供暖取暖用耗材
（被子、塑料布）</t>
  </si>
  <si>
    <t xml:space="preserve">ООО "ОНЛАЙН-ОЙЛ" </t>
  </si>
  <si>
    <t>6吨柴油</t>
  </si>
  <si>
    <t>油料</t>
  </si>
  <si>
    <t xml:space="preserve">ООО ПКФ  " АВАНТАЖ " </t>
  </si>
  <si>
    <t>100平米电热毯</t>
  </si>
  <si>
    <t xml:space="preserve">ООО "ЭНЕРГОПРОМ" </t>
  </si>
  <si>
    <t>电线</t>
  </si>
  <si>
    <t>电气材料</t>
  </si>
  <si>
    <t>土建电缆</t>
  </si>
  <si>
    <t xml:space="preserve">ООО "МЕТАЛЛИЧЕСКАЯ МЕБЕЛЬ" </t>
  </si>
  <si>
    <t>10个货架</t>
  </si>
  <si>
    <t>3*4电线</t>
  </si>
  <si>
    <t xml:space="preserve">ООО "ПК "МЕТИЗКОМПЛЕКТ" </t>
  </si>
  <si>
    <t>安全展示牌</t>
  </si>
  <si>
    <t>6套小工劳保鞋服</t>
  </si>
  <si>
    <t>Вершина</t>
  </si>
  <si>
    <t>370件卡扣</t>
  </si>
  <si>
    <t>Тент-Опт</t>
  </si>
  <si>
    <t>4张保温雨布</t>
  </si>
  <si>
    <t>Метиз - Пзу</t>
  </si>
  <si>
    <t>吊具32副</t>
  </si>
  <si>
    <t>配电柜一套</t>
  </si>
  <si>
    <t>电镐3具</t>
  </si>
  <si>
    <t>ООО "ТЕХНОАВИА-ПЕРМЬ"</t>
  </si>
  <si>
    <t xml:space="preserve">支付劳保费用 
 安全帽  个 5.00  303.00  1515.00 
 棉靴  双 2.00  5386.29  10772.58 
 棉裤  条 1.00  3622.35  3622.35 
 劳保眼镜  个 1.00  428.00  428.00 
 安全马甲  件 1.00  791.00  791.00 
 棉服  件 1.00  7745.43  7745.43 
 棉服  件 1.00  3442.48  3442.48 
 棉靴  双 1.00  5386.29  5386.29 
 棉衣  件 1.00  5660.31  5660.31 
 棉裤  件 1.00  3622.35  3622.35 
 棉靴  双 1.00  5479.37  5479.37 
 棉裤  件 1.00  3622.35  3622.35 
 棉裤  件 1.00  3622.35  3622.35 
 棉裤  件 1.00  3622.35  3622.35 
 棉衣  件 1.00  5660.31  5660.31 
 棉衣  件 1.00  5660.31  5660.31 </t>
  </si>
  <si>
    <t>272</t>
  </si>
  <si>
    <t xml:space="preserve">| №*  | Код    | Товар                                                                 | К** | Кол-во | Ед.   | Срок поставки ****, дней | Объем | Вес   | Кратн. оств | Цена без НДС | Цена вкл. НДС | Всего с НДС |
|-----|---------|-----------------------------------------------------------------------|-----|--------|--------|--------------------------|--------|--------|-------------|--------------|---------------|---------------|
| 1** | 541414  | Провода ПУВнг(A)-LS 1x6 5 (бухта)(м) РЗК-PRYSMIAN 0501070201          | С   | 100    | Метр  | Товар в наличии         | 0,0056 | 6,000  |             | 64,57        | 77,48         | 7 748,40      |
| 2** | 541412  | Провода ПУВнг(A)-LS 1x4 К/3 (бухта)(м) РЗК-PRYSMIAN 0501060301         | С   | 30     | Метр  | Товар в наличии         | 0,0014 | 1,425  |             | 44,72        | 53,66         | 1 609,92      |
| 3** | 541413  | Провода ПУВнг(A)-LS 1x4 С (бухта)(м) РЗК-PRYSMIAN 0501060501           | С   | 100    | Метр  | Товар в наличии         | 0,0080 | 6,500  |             | 44,72        | 53,66         | 5 366,40      |
|     |         | Итого по счету:                                                       |     |        |        |                          | 0,01   | 13,92  |             |              |               | 14 724,72     |
|     |         | &lt;br&gt;Стоимость без НДС: 12 270,60 руб.&lt;br&gt;НДС 20%: 2 454,12 руб.&lt;br&gt;Итого к оплате: 14 724,72 руб. |
| 序号* | 代码    | 商品                                                                 | 类** | 数量   | 单位   | 交货期****（天） | 体积   | 重量   | 库存倍数 | 不含税价格 | 含增值税价格 | 含税总价     |
|-------|---------|-----------------------------------------------------------------------|------|--------|--------|------------------|--------|--------|----------|------------|--------------|--------------|
| 1**   | 541414  | 聚氨酯电缆ПУВнг(A)-LS 1x6 5（卷装）(米) 电缆-PRYSMIAN 0501070201     | 普通 | 100    | 米     | 现货             | 0.0056 | 6.000  |          | 64.57       | 77.48        | 7 748.40     |
| 2**   | 541412  | 聚氨酯电缆ПУВнг(A)-LS 1x4 三芯（卷装）(米) 电缆-PRYSMIAN 0501060301  | 普通 | 30     | 米     | 现货             | 0.0014 | 1.425  |          | 44.72       | 53.66        | 1 609.92     |
| 3**   | 541413  | 聚氨酯电缆ПУВнг(A)-LS 1x4 普通（卷装）(米) 电缆-PRYSMIAN 0501060501  | 普通 | 100    | 米     | 现货             | 0.0080 | 6.500  |          | 44.72       | 53.66        | 5 366.40     |
|       |         | 账户总计:                                                            |      |        |        |                  | 0.01   | 13.92  |          |            |              | 14 724.72    |
|       |         | &lt;br&gt;不含税金额：12 270.60卢布&lt;br&gt;增值税20%：2 454.12卢布&lt;br&gt;应付总计：14 724.72卢布 |
| №   | Код    | Товар                                                                 | К** | Кол-во | Ед.     | Срок поставки *** дней | Объем | Вес   | Кратн. остс | Цена без НДС | Цена вкл. НДС | Всего с НДС |
|-----|---------|-----------------------------------------------------------------------|-----|--------|----------|------------------------|--------|--------|-------------|--------------|---------------|---------------|
| 1   | 1610372&lt;br&gt;131373 | Виктористы автоматические 3п АХМ-400S (R) CHINT                       | С   | 1      | штука   | Товар в наличии       | 0,0082 | 5,000  |             | 16 200,37     | 19 440,44      | 19 440,44     |
| 2   | 1069922 | Удлиннительный шнур Ian 1N 5m C&lt;br&gt;250/300V а.c. 4.5А NXBLE-63Y (R) CHINT 105544 | С   | 20     | штука   | Товар в наличии       | 0,0047 | 3,080  |             | 874,12        | 1 048,94       | 20 978,88     |
| 3   | 383062  | Вилка 100/100L 3,6x200 бел. бер. чёрн.&lt;br&gt;УТ(100utr) Navigatr 71337  | С   | 5      | шт      | Товар в наличии       | 0,0018 | 0,450  |             | 87,10         | 104,52        | 522,60        |
| 4*  | 143925  | Провода ПУВнг(А)-LS 1x25 6 (М) С&lt;br&gt;РЗК-PRYSMIAN 0501100206            | С   | 30     | Метр    | Товар в наличии       | 0,0030 | 6,480  |             | 258,14        | 309,77        | 9 293,04      |
| 5   | 1185228 | Пресса пневматико-гидравлическая TMI&lt;br&gt;50-8,11 опуст. ГОСТ 7388-80    | С   | 10     | штука   | Товар в наличии       | 0,0013 | 1,460  |             | 420,14        | 504,17        | 5 041,88      |
| 6   | 1654488 | ТЭКОВ ELECTRIC ТКС-ТМ-50-8  | С   | 100    | штука   | Товар в наличии       | 0,0018 | 2,200  |             | 75,05         | 90,06         | 9 006,00      |
| 7   | 235607  | Щупай iek TLK10-003                                                   | С   | 1      | штука   | Товар в наличии       | 0,0106 | 6,000  |             | 6 811,31      | 8 173,57      | 8 173,57      |
| 8   | 1300480 | Прес-шкур TK-16x KBT 78866                                           | С   | 1      | штука   | Товар в наличии       | 0,0056 | 0,520  |             | 2 081,79      | 2 498,15      | 2 498,15      |
| 9*  | 1346864 | Кlem c electric&lt;br&gt;M8x25 DIN 953 глазс прор. 5,8&lt;br&gt;СТРОЙМЕТИЗ UTORM3011628 | С   | 3      | УТ.70   | Товар в наличии       | 0,0080 | 1,784  |             | 196,50        | 235,80        | 471,88        |
|     |         | Итого по счету:                                                       |     |        |          |                        | 0,03   | 28,54  |             |              |               | 76 520,96     |
|     |         | &lt;br&gt;Стоимость без НДС: 63 767,48 руб.&lt;br&gt;НДС 20%: 12 753,48 руб.&lt;br&gt;Итого к оплате: 76 520,96 руб. |
| 序号 | 代码         | 商品                                                                 | 类** | 数量 | 单位   | 交货期***天   | 体积   | 重量   | 库存倍数 | 不含税价格 | 含增值税价格 | 含税总价     |
|------|--------------|-----------------------------------------------------------------------|------|------|--------|----------------|--------|--------|----------|------------|--------------|--------------|
| 1    | 1610372&lt;br&gt;131373 | 3极自动断路器 АХМ-400S (R) 正泰                                      | 普通 | 1    | 件     | 现货           | 0.0082 | 5.000  |          | 16 200.37   | 19 440.44    | 19 440.44    |
| 2    | 1069922      | Ian 1N 5m延长线 250/300V 交流4.5A NXBLE-63Y (R) 正泰 105544           | 普通 | 20   | 件     | 现货           | 0.0047 | 3.080  |          | 874.12      | 1 048.94     | 20 978.88    |
| 3    | 383062       | 100/100L 3.6x200白色/黑色手柄&lt;br&gt;UT(100utr) Navigatr 71337            | 普通 | 5    | 个     | 现货           | 0.0018 | 0.450  |          | 87.10       | 104.52       | 522.60       |
| 4*   | 143925       | 聚氨酯电缆ПУВнг(А)-LS 1x25 6（米）&lt;br&gt;电缆-PRYSMIAN 0501100206        | 普通 | 30   | 米     | 现货           | 0.0030 | 6.480  |          | 258.14      | 309.77       | 9 293.04     |
| 5    | 1185228      | 气动液压千斤顶 TMI&lt;br&gt;50-8.11下降 符合国家标准7388-80                | 普通 | 10   | 件     | 现货           | 0.0013 | 1.460  |          | 420.14      | 504.17       | 5 041.88     |
| 6    | 1654488      | ТЭКОВ ELECTRIC ТКС-ТМ-50-8                                          | 普通 | 100  | 件     | 现货           | 0.0018 | 2.200  |          | 75.05       | 90.06        | 9 006.00     |
| 7    | 235607       | 探测针 iek TLK10-003                                                 | 普通 | 1    | 件     | 现货           | 0.0106 | 6.000  |          | 6 811.31    | 8 173.57     | 8 173.57     |
| 8    | 1300480      | 去皮压具 TK-16x KBT 78866                                            | 普通 | 1    | 件     | 现货           | 0.0056 | 0.520  |          | 2 081.79    | 2 498.15     | 2 498.15     |
| 9*   | 1346864      | 电力用Klem&lt;br&gt;M8x25 DIN 953带孔螺栓 5.8&lt;br&gt;建筑涂装 UTORM3011628     | 普通 | 3    | UT.70  | 现货           | 0.0080 | 1.784  |          | 196.50      | 235.80       | 471.88       |
| 10    | 122480  | MB气缸（每包100个）DKC CM240500    | 普通 | 2    | UT.100  | 现货           | 0.0004 | 0.332  |          | 173.41      | 208.09       | 416.18     |
| 11    | 97680   | SM8 MB（每包100个）DKC CM11080     | 普通 | 2    | UT.100  | 现货           | 0.0006 | 0.940  |          | 224.41      | 269.29       | 538.58     |
| 12    | 1347033 | 12英寸 γ 200uirr_nav&lt;br&gt;建筑涂装 UTORM3080348 | 普通 | 1    | UT.     | 现货           | 0.0001 | 0.294  |          | 116.87      | 140.24       | 140.24     |
|       |         | 账户总计:                          |      |      |         |                | 0.03   | 28.54  |          |            |              | 76 520.96  |
|       |         | &lt;br&gt;不含税金额：63 767.48卢布&lt;br&gt;增值税20%：12 753.48卢布&lt;br&gt;应付总计：76 520.96卢布 |
### 完整注释翻译（补充）：  
- 带*标注商品：库存-预生产商品（无库存），下单后按生产和运输时间交付（通常14天内）。文件已准备。  
- 带**标注商品：库存-预生产商品（有库存），发货时间≤14天。文件已准备。  
- 交货期***：有库存商品交货期为*天，无库存商品将按生产和运输具体时间交付。  
- К**：若商品标为 **С** 类，则数量≥3；若商品标为 **У** 类，则按最小整包装数量供应，价格含折扣。
</t>
  </si>
  <si>
    <t>271</t>
  </si>
  <si>
    <t>ООО "Кипинком"</t>
  </si>
  <si>
    <t>支付现场水泵水带费用</t>
  </si>
  <si>
    <t>支付现场五金工具等零星材料费用</t>
  </si>
  <si>
    <t>接地材料</t>
  </si>
  <si>
    <t>ООО "ОПТОРИКА"</t>
  </si>
  <si>
    <t>支付劳保鞋费用</t>
  </si>
  <si>
    <t>ООО СК "ТЕХМОНТАЖКОМПЛЕКТ"</t>
  </si>
  <si>
    <t>ООО "Онлайн-Ойл" ИHH 5905052124</t>
  </si>
  <si>
    <t>支付7吨柴油费用</t>
  </si>
  <si>
    <t>ООО "ЗАВОД СТРОЙМЕТАЛЛ"</t>
  </si>
  <si>
    <t>支付现场发电机接油盘费用2大1小</t>
  </si>
  <si>
    <t>13吨柴油</t>
  </si>
  <si>
    <t>ООО "ЗОЛОТОЙ ЭЛЕКТРОД"</t>
  </si>
  <si>
    <t>焊机焊条</t>
  </si>
  <si>
    <t>15吨柴油</t>
  </si>
  <si>
    <t>劳保、五金等货款</t>
  </si>
  <si>
    <t>ООО "ЖЕЛЕЗОБЕТОН"</t>
  </si>
  <si>
    <t>预制水封井</t>
  </si>
  <si>
    <t>预制件</t>
  </si>
  <si>
    <t>100吨架子管</t>
  </si>
  <si>
    <t>管材</t>
  </si>
  <si>
    <t>ООО "УРАЛПЛИТПРОМ"</t>
  </si>
  <si>
    <t>模板预付款</t>
  </si>
  <si>
    <t>ООО ТПК "ПРОМБИЗНЕС"</t>
  </si>
  <si>
    <t>木方预付款</t>
  </si>
  <si>
    <t>木材</t>
  </si>
  <si>
    <t>ООО "ВЕРШИНА"</t>
  </si>
  <si>
    <t>五金等零星采购预付款（油漆、踏步、水箱等）</t>
  </si>
  <si>
    <t>ООО "КИПИНКОМ"</t>
  </si>
  <si>
    <t>零星采购</t>
  </si>
  <si>
    <t>ООО "МФК"</t>
  </si>
  <si>
    <t>接油盘及其他加工件</t>
  </si>
  <si>
    <t>架子管扣件</t>
  </si>
  <si>
    <t>扣件</t>
  </si>
  <si>
    <t>ООО "КОНТИНЕНТАЛЬ СТРОЙ"</t>
  </si>
  <si>
    <t>发电机接油盘</t>
  </si>
  <si>
    <t>ООО "МЕТАЛЛИЧЕСКАЯ МЕБЕЛЬ"</t>
  </si>
  <si>
    <t>货架</t>
  </si>
  <si>
    <t>200套雨衣</t>
  </si>
  <si>
    <t>ООО "ИНТУЛ"</t>
  </si>
  <si>
    <t>配电柜预付款</t>
  </si>
  <si>
    <t>ООО "МБМ-Сервис"</t>
  </si>
  <si>
    <t>水泵水带</t>
  </si>
  <si>
    <t>木跳板</t>
  </si>
  <si>
    <t>ООО "ОНЛАЙН-ОЙЛ"</t>
  </si>
  <si>
    <t>支付柴油预付款</t>
  </si>
  <si>
    <t>ООО "ВДС"</t>
  </si>
  <si>
    <t>预付临建电缆货款</t>
  </si>
  <si>
    <t>焊材零星采购货款</t>
  </si>
  <si>
    <t>ООО "ПЗСМ"</t>
  </si>
  <si>
    <t>钢筋网片加工</t>
  </si>
  <si>
    <t>劳保鞋等货款</t>
  </si>
  <si>
    <t>化粪池货款</t>
  </si>
  <si>
    <t>其他材料</t>
  </si>
  <si>
    <t>焊机货款</t>
  </si>
  <si>
    <t>焊条焊丝货款</t>
  </si>
  <si>
    <t>压型板</t>
  </si>
  <si>
    <t>对拉螺杆螺母货款</t>
  </si>
  <si>
    <t>安装电缆货款</t>
  </si>
  <si>
    <t>零星材料</t>
  </si>
  <si>
    <t>预付木方货款</t>
  </si>
  <si>
    <t>ООО "ЭТАЛОНГАЗ"</t>
  </si>
  <si>
    <t>三气货款</t>
  </si>
  <si>
    <t>气体</t>
  </si>
  <si>
    <t>模板货款</t>
  </si>
  <si>
    <t>零星钢材</t>
  </si>
  <si>
    <t>安装土建零星</t>
  </si>
  <si>
    <t>ООО "ТПФ Б-М-Е"</t>
  </si>
  <si>
    <t>冬季工人棉服</t>
  </si>
  <si>
    <t>ООО "АБРИС ЗМК"</t>
  </si>
  <si>
    <t>焊材零星采购</t>
  </si>
  <si>
    <t>冬季管理棉服</t>
  </si>
  <si>
    <t>ООО "ЮНИОН"</t>
  </si>
  <si>
    <t>水泥墩子</t>
  </si>
  <si>
    <t>ООО "ПЕРМСКИЙ ЗАВОД ГПО"</t>
  </si>
  <si>
    <t>生命线安装吊具</t>
  </si>
  <si>
    <t>冬季焊工手套</t>
  </si>
  <si>
    <t>10吨柴油</t>
  </si>
  <si>
    <t>安装吊具</t>
  </si>
  <si>
    <t>三气货款（气瓶押金）</t>
  </si>
  <si>
    <t>气体押金</t>
  </si>
  <si>
    <t>冬施电缆</t>
  </si>
  <si>
    <t>ООО "АВ-СЕРВИС"</t>
  </si>
  <si>
    <t>006新增钢筋网片</t>
  </si>
  <si>
    <t>ООО "ПАЛИТРАТЕЛЕКОМ"</t>
  </si>
  <si>
    <t>冬施保温岩棉</t>
  </si>
  <si>
    <t>005上部增补钢筋网片</t>
  </si>
  <si>
    <t>钢筋网片运费</t>
  </si>
  <si>
    <t>安装水封井费用</t>
  </si>
  <si>
    <t>ООО "РЕГИОНСТРОЙБИЛДИНГ"</t>
  </si>
  <si>
    <t>毛石</t>
  </si>
  <si>
    <t>4台电伴热站费用</t>
  </si>
  <si>
    <t>ООО "ТК "ДИАЛ"</t>
  </si>
  <si>
    <t>2吨灌浆料费用</t>
  </si>
  <si>
    <t>零星五金材料</t>
  </si>
  <si>
    <t>ООО "УЗПО"</t>
  </si>
  <si>
    <t>零星五金材料（50%）</t>
  </si>
  <si>
    <t>ООО "ТЕНТ-ОПТ"</t>
  </si>
  <si>
    <t>保温篷布</t>
  </si>
  <si>
    <t>Тульский Филиал АООО "КИТАЙСКАЯ НАЦИОНАЛЬНАЯ ХИМИКО-ИНЖЕНЕРНАЯ КОРПОРАЦИЯ"</t>
  </si>
  <si>
    <t>五环-晓基诺设备材料</t>
  </si>
  <si>
    <t>劳保鞋、零星采购</t>
  </si>
  <si>
    <t>安装焊条</t>
  </si>
  <si>
    <t>钢筋型材</t>
  </si>
  <si>
    <t>钢筋网片</t>
  </si>
  <si>
    <t>增补配电箱及配件</t>
  </si>
  <si>
    <t>2024年Q4税金7833217卢布，在2025年Q1分三次支付</t>
  </si>
  <si>
    <t>增值税</t>
  </si>
  <si>
    <t>2025年Q1税金1809570卢布，在2025年Q3分三次支付</t>
  </si>
  <si>
    <t>补缴税款</t>
  </si>
  <si>
    <t>会费</t>
  </si>
  <si>
    <t>2月</t>
  </si>
  <si>
    <t>资质升级</t>
  </si>
  <si>
    <t>12月</t>
  </si>
  <si>
    <t>1月</t>
  </si>
  <si>
    <t>自检组织会费（Mar～May）</t>
  </si>
  <si>
    <t>六月11000+年费8000</t>
  </si>
  <si>
    <r>
      <rPr>
        <sz val="12"/>
        <rFont val="宋体"/>
        <charset val="134"/>
      </rPr>
      <t>说明</t>
    </r>
  </si>
  <si>
    <r>
      <rPr>
        <sz val="12"/>
        <rFont val="宋体"/>
        <charset val="134"/>
      </rPr>
      <t>发票</t>
    </r>
  </si>
  <si>
    <t>№.</t>
  </si>
  <si>
    <t xml:space="preserve">ООО "АВТО-ПАРТНЕР" </t>
  </si>
  <si>
    <r>
      <rPr>
        <sz val="12"/>
        <rFont val="宋体"/>
        <charset val="134"/>
      </rPr>
      <t>2月板车</t>
    </r>
    <r>
      <rPr>
        <sz val="12"/>
        <rFont val="Times New Roman"/>
        <charset val="134"/>
      </rPr>
      <t>9</t>
    </r>
    <r>
      <rPr>
        <sz val="12"/>
        <rFont val="宋体"/>
        <charset val="134"/>
      </rPr>
      <t>小时</t>
    </r>
  </si>
  <si>
    <t xml:space="preserve">ООО "СпецКомплект" </t>
  </si>
  <si>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25T</t>
    </r>
    <r>
      <rPr>
        <sz val="12"/>
        <rFont val="宋体"/>
        <charset val="134"/>
      </rPr>
      <t>吊</t>
    </r>
    <r>
      <rPr>
        <sz val="12"/>
        <rFont val="Times New Roman"/>
        <charset val="134"/>
      </rPr>
      <t>53</t>
    </r>
    <r>
      <rPr>
        <sz val="12"/>
        <rFont val="宋体"/>
        <charset val="134"/>
      </rPr>
      <t>小时</t>
    </r>
  </si>
  <si>
    <r>
      <rPr>
        <sz val="12"/>
        <rFont val="Times New Roman"/>
        <charset val="134"/>
      </rPr>
      <t>01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25T</t>
    </r>
    <r>
      <rPr>
        <sz val="12"/>
        <rFont val="宋体"/>
        <charset val="134"/>
      </rPr>
      <t>吊、装载机</t>
    </r>
  </si>
  <si>
    <r>
      <rPr>
        <sz val="12"/>
        <rFont val="宋体"/>
        <charset val="134"/>
      </rPr>
      <t>12月上</t>
    </r>
    <r>
      <rPr>
        <sz val="12"/>
        <rFont val="Times New Roman"/>
        <charset val="134"/>
      </rPr>
      <t>25T</t>
    </r>
    <r>
      <rPr>
        <sz val="12"/>
        <rFont val="宋体"/>
        <charset val="134"/>
      </rPr>
      <t>吊、装载机</t>
    </r>
  </si>
  <si>
    <r>
      <rPr>
        <sz val="12"/>
        <rFont val="宋体"/>
        <charset val="134"/>
      </rPr>
      <t>12月下</t>
    </r>
    <r>
      <rPr>
        <sz val="12"/>
        <rFont val="Times New Roman"/>
        <charset val="134"/>
      </rPr>
      <t>25T</t>
    </r>
    <r>
      <rPr>
        <sz val="12"/>
        <rFont val="宋体"/>
        <charset val="134"/>
      </rPr>
      <t>吊、装载机</t>
    </r>
  </si>
  <si>
    <r>
      <rPr>
        <sz val="12"/>
        <rFont val="宋体"/>
        <charset val="134"/>
      </rPr>
      <t>2月</t>
    </r>
    <r>
      <rPr>
        <sz val="12"/>
        <rFont val="Times New Roman"/>
        <charset val="134"/>
      </rPr>
      <t>25T</t>
    </r>
    <r>
      <rPr>
        <sz val="12"/>
        <rFont val="宋体"/>
        <charset val="134"/>
      </rPr>
      <t>吊、装载机</t>
    </r>
  </si>
  <si>
    <t>233</t>
  </si>
  <si>
    <t>大挖机预付款（600小时）</t>
  </si>
  <si>
    <t>546</t>
  </si>
  <si>
    <t>25吨吊车、装载机4月租赁费</t>
  </si>
  <si>
    <t>707</t>
  </si>
  <si>
    <t>25吨吊车、装载机3月租赁费</t>
  </si>
  <si>
    <t>708</t>
  </si>
  <si>
    <t>25吨吊车70小时台班费（3.27～4.18）</t>
  </si>
  <si>
    <t>682</t>
  </si>
  <si>
    <t>板车03月21日租赁费</t>
  </si>
  <si>
    <t>297</t>
  </si>
  <si>
    <t>ООО "АСТ"</t>
  </si>
  <si>
    <t>大挖机预付款（100小时）</t>
  </si>
  <si>
    <t>Авто Спец Техника</t>
  </si>
  <si>
    <t>549</t>
  </si>
  <si>
    <t>ООО "АВТОЛИДЕР"</t>
  </si>
  <si>
    <t>板车租赁费</t>
  </si>
  <si>
    <t>大巴车租赁费</t>
  </si>
  <si>
    <t>ООО  "ТУЛГИДРОСПЕЦСТРОЙ"</t>
  </si>
  <si>
    <t>图拉挖机5月租赁费</t>
  </si>
  <si>
    <t>ООО "ТСМ"</t>
  </si>
  <si>
    <t>自卸车租赁费（06月份）</t>
  </si>
  <si>
    <t>支付大挖机6月租赁费（供应商）</t>
  </si>
  <si>
    <t>支付板车5月租赁费（供应商）</t>
  </si>
  <si>
    <t>ООО "СПЕЦКОМПЛЕКТ"</t>
  </si>
  <si>
    <t>装载机租赁费</t>
  </si>
  <si>
    <t>ООО "РИНКС"</t>
  </si>
  <si>
    <t>洒水车租赁费（0628-0715）</t>
  </si>
  <si>
    <t>挖机7月租金</t>
  </si>
  <si>
    <t>ООО "АВТО-ПАРТНЕР"</t>
  </si>
  <si>
    <t>大挖机租赁费（5月14日预付2343000）</t>
  </si>
  <si>
    <t>ООО "ЛК СПЕКТР"</t>
  </si>
  <si>
    <t>曲臂车租金预付款</t>
  </si>
  <si>
    <t>自卸车租赁费</t>
  </si>
  <si>
    <t>吊车租赁费</t>
  </si>
  <si>
    <t>大挖机租赁费</t>
  </si>
  <si>
    <t>ИП Филин Антон Вячеславович</t>
  </si>
  <si>
    <t>25T吊9月租赁费</t>
  </si>
  <si>
    <t>8月份自卸车租赁费</t>
  </si>
  <si>
    <t>洒水车租赁费</t>
  </si>
  <si>
    <t>55吨吊车</t>
  </si>
  <si>
    <t>自卸车</t>
  </si>
  <si>
    <t>洒水车</t>
  </si>
  <si>
    <t>大挖机</t>
  </si>
  <si>
    <t>吊车挖机7月租赁费</t>
  </si>
  <si>
    <t>曲臂车进场保险费</t>
  </si>
  <si>
    <t>挖机、自卸车、随车吊</t>
  </si>
  <si>
    <t>小挖机、装载机、吊车</t>
  </si>
  <si>
    <t>ООО "ЛИНК"</t>
  </si>
  <si>
    <t>УМВД РОССИИ ПО ТУЛЬСКОЙ ОБЛАСТИ</t>
  </si>
  <si>
    <t>向汪洋、王越高工作许可及税金</t>
  </si>
  <si>
    <t>143-146</t>
  </si>
  <si>
    <t>ООО "СК "СОГЛАСИЕ"</t>
  </si>
  <si>
    <t>刘振、向汪洋、王越高3年专家签保险-3000卢布/人</t>
  </si>
  <si>
    <t>保险费</t>
  </si>
  <si>
    <t xml:space="preserve">Управление  Федерального казначейства по Пермскому краю (ГУ МВД России по Пермскому краю,л/с 04561146500) </t>
  </si>
  <si>
    <t>刘振工作许可税金</t>
  </si>
  <si>
    <t>税金</t>
  </si>
  <si>
    <t>侯吉儒、王福容、张野君专家签</t>
  </si>
  <si>
    <t>191-196</t>
  </si>
  <si>
    <t>刘振专家签</t>
  </si>
  <si>
    <t>三人专家签保险费</t>
  </si>
  <si>
    <t>高鹏工作许可</t>
  </si>
  <si>
    <t>34名中国员工彼尔姆工作签证</t>
  </si>
  <si>
    <t>34名中国员工彼尔姆工作签证税金</t>
  </si>
  <si>
    <t>299-388</t>
  </si>
  <si>
    <t>340名中国员工彼尔姆工作签证</t>
  </si>
  <si>
    <t>VTB</t>
  </si>
  <si>
    <t>34人护照翻译服务</t>
  </si>
  <si>
    <t>翻译公证</t>
  </si>
  <si>
    <t>外事服务费用-68人（31工作签+37专家签）中国护照在俄罗斯翻译、公证</t>
  </si>
  <si>
    <t>37人护照翻译</t>
  </si>
  <si>
    <t>678</t>
  </si>
  <si>
    <t>37人护照公证</t>
  </si>
  <si>
    <t>677</t>
  </si>
  <si>
    <t>专家签37人保险费</t>
  </si>
  <si>
    <t>37人工作签及邀请函37*(960+4200)</t>
  </si>
  <si>
    <t>2人工作签及邀请函2*(960+4200)  冷、苗</t>
  </si>
  <si>
    <t>АНО "ЦППСТА"</t>
  </si>
  <si>
    <t>侯吉儒/李佳妮/杨梦琪/徐永敏 四人体检</t>
  </si>
  <si>
    <t>高鹏体检费</t>
  </si>
  <si>
    <t>702</t>
  </si>
  <si>
    <t>（4200+960）*73人</t>
  </si>
  <si>
    <t>邀请函</t>
  </si>
  <si>
    <t>冷、苗专家签保险</t>
  </si>
  <si>
    <t>护照翻译、公证</t>
  </si>
  <si>
    <t>冷、苗体检费</t>
  </si>
  <si>
    <t>65人*4200+960</t>
  </si>
  <si>
    <t>一人专家签保险费</t>
  </si>
  <si>
    <t>29人邀请函/工作许可</t>
  </si>
  <si>
    <t>91人翻译服务费</t>
  </si>
  <si>
    <t>两人体检费（孙军堂）</t>
  </si>
  <si>
    <t>10人体检费</t>
  </si>
  <si>
    <t>27人（960+4200）</t>
  </si>
  <si>
    <t>两人邀请函（冷、苗）</t>
  </si>
  <si>
    <t>86人（4200+960）</t>
  </si>
  <si>
    <t>160人配额费用</t>
  </si>
  <si>
    <t>配额费</t>
  </si>
  <si>
    <t>33人（4200+960）</t>
  </si>
  <si>
    <t>7人体检费</t>
  </si>
  <si>
    <t>20人专家签保险费</t>
  </si>
  <si>
    <t>23人（4200+960）+1920</t>
  </si>
  <si>
    <t>现场8名工人体检费</t>
  </si>
  <si>
    <t>刘云辉体检费</t>
  </si>
  <si>
    <t>预付体检费</t>
  </si>
  <si>
    <t>体检费229900</t>
  </si>
  <si>
    <t>体检费221000</t>
  </si>
  <si>
    <t>МВД России</t>
  </si>
  <si>
    <t>三人专家签邀请函 4200+960</t>
  </si>
  <si>
    <t>32人*1920卢布</t>
  </si>
  <si>
    <t>专家签保险费</t>
  </si>
  <si>
    <t>6人邀请函 4200+960</t>
  </si>
  <si>
    <t>护照资料翻译费</t>
  </si>
  <si>
    <t>单刚等14人邀请函及工作许可</t>
  </si>
  <si>
    <t>46人*1920</t>
  </si>
  <si>
    <t>67名工人卢克体检费</t>
  </si>
  <si>
    <t>刘代先等6人体检费</t>
  </si>
  <si>
    <t>18人*500</t>
  </si>
  <si>
    <t>44人*1920</t>
  </si>
  <si>
    <t>Управление  Федерального казначейства по Пермскому краю (ГУ МВД России по Перм. краю,л/с 04561146500)</t>
  </si>
  <si>
    <t>9人*4200</t>
  </si>
  <si>
    <t>46人*500</t>
  </si>
  <si>
    <t>3人*500</t>
  </si>
  <si>
    <t>12人专家签保险费</t>
  </si>
  <si>
    <t>潘高峰续签</t>
  </si>
  <si>
    <t>32人*500卢布</t>
  </si>
  <si>
    <t>10人落地签</t>
  </si>
  <si>
    <t>8人续签*500卢布</t>
  </si>
  <si>
    <t>63人续签*1920卢布</t>
  </si>
  <si>
    <t>张少帅续签</t>
  </si>
  <si>
    <t>孙军堂、李波涛</t>
  </si>
  <si>
    <t>12人*500</t>
  </si>
  <si>
    <t>9人*1920</t>
  </si>
  <si>
    <t>11人*500</t>
  </si>
  <si>
    <t>28人*500</t>
  </si>
  <si>
    <t>15人卢克体检费</t>
  </si>
  <si>
    <t>鸿天泽安10人落地签*500</t>
  </si>
  <si>
    <t>ООО "УРАЛ-ОБРАЗОВАНИЕ"</t>
  </si>
  <si>
    <t>5+1（0905批次）</t>
  </si>
  <si>
    <t>53人落地签</t>
  </si>
  <si>
    <t>500*23</t>
  </si>
  <si>
    <t>1920*20</t>
  </si>
  <si>
    <t>3人落地签</t>
  </si>
  <si>
    <t>2人落地签</t>
  </si>
  <si>
    <t>三人落地签</t>
  </si>
  <si>
    <t>37人更改落地签</t>
  </si>
  <si>
    <t>12人邀请函工作许可</t>
  </si>
  <si>
    <t>39人*500</t>
  </si>
  <si>
    <t>20人*500</t>
  </si>
  <si>
    <t>六人更改落地签</t>
  </si>
  <si>
    <t>卢克体检14人</t>
  </si>
  <si>
    <t>卢克体检55人</t>
  </si>
  <si>
    <t>卢克体检67人</t>
  </si>
  <si>
    <t>四人续签</t>
  </si>
  <si>
    <t>凌彗星</t>
  </si>
  <si>
    <t>刘振落地签</t>
  </si>
  <si>
    <t>刘振工作许可</t>
  </si>
  <si>
    <t>5人落地签</t>
  </si>
  <si>
    <t>潘高峰落地签</t>
  </si>
  <si>
    <t>33人落地签</t>
  </si>
  <si>
    <t>四川蜀远</t>
  </si>
  <si>
    <t>分包成本-四川蜀远打卡工资</t>
  </si>
  <si>
    <r>
      <rPr>
        <sz val="12"/>
        <rFont val="宋体"/>
        <charset val="134"/>
      </rPr>
      <t>四川蜀远</t>
    </r>
  </si>
  <si>
    <t>重庆鹏帝</t>
  </si>
  <si>
    <t>分包成本-重庆鹏帝打卡工资</t>
  </si>
  <si>
    <r>
      <rPr>
        <sz val="12"/>
        <rFont val="宋体"/>
        <charset val="134"/>
      </rPr>
      <t>重庆鹏帝</t>
    </r>
  </si>
  <si>
    <t>7月下薪酬蜀远</t>
  </si>
  <si>
    <t>7月下薪酬鹏帝</t>
  </si>
  <si>
    <t>FCC项目支付蜀远员工8月上工资</t>
  </si>
  <si>
    <t>FCC项目支付鹏帝员工8月上工资</t>
  </si>
  <si>
    <t>电仪队</t>
  </si>
  <si>
    <t>电仪队8下</t>
  </si>
  <si>
    <t>电仪直属队</t>
  </si>
  <si>
    <t>四川蜀远8下</t>
  </si>
  <si>
    <t>重庆鹏帝8下</t>
  </si>
  <si>
    <t>鸿天泽安</t>
  </si>
  <si>
    <t>鸿天泽安8下</t>
  </si>
  <si>
    <t>鹏帝9月上</t>
  </si>
  <si>
    <t>蜀远9月上</t>
  </si>
  <si>
    <t>鸿天泽安9月上</t>
  </si>
  <si>
    <t>电仪队9月上</t>
  </si>
  <si>
    <t>安装队9月上</t>
  </si>
  <si>
    <t>安装直属队</t>
  </si>
  <si>
    <t>重庆鹏帝18人离职工资</t>
  </si>
  <si>
    <t>四川蜀远4人离职工资</t>
  </si>
  <si>
    <t>鹏帝离职工资</t>
  </si>
  <si>
    <t>安装队9月下</t>
  </si>
  <si>
    <t>电仪队9月下</t>
  </si>
  <si>
    <t>蜀远9月下</t>
  </si>
  <si>
    <t>鹏帝9月下</t>
  </si>
  <si>
    <t>鸿天泽安9月下</t>
  </si>
  <si>
    <t>四川蜀远11人解雇工资</t>
  </si>
  <si>
    <t>重庆鹏帝1人解雇工资</t>
  </si>
  <si>
    <t>鹏帝4人离职工资</t>
  </si>
  <si>
    <t>鹏帝8人离职工资</t>
  </si>
  <si>
    <t>安装队10月上</t>
  </si>
  <si>
    <t>电仪队10月上</t>
  </si>
  <si>
    <t>蜀远10月上</t>
  </si>
  <si>
    <t>鹏帝10月上</t>
  </si>
  <si>
    <t>鸿天泽安10月上</t>
  </si>
  <si>
    <t>四川晋海通10月上</t>
  </si>
  <si>
    <t>四川晋海通</t>
  </si>
  <si>
    <t>鹏帝两人离职</t>
  </si>
  <si>
    <t>鹏帝</t>
  </si>
  <si>
    <t>蜀远</t>
  </si>
  <si>
    <t>晋海通</t>
  </si>
  <si>
    <t>安装队</t>
  </si>
  <si>
    <t>鹏帝离职</t>
  </si>
  <si>
    <t>蜀远离职</t>
  </si>
  <si>
    <t>鸿天泽安离职</t>
  </si>
  <si>
    <t>安装直属队离职</t>
  </si>
  <si>
    <t>重庆鹏帝离职</t>
  </si>
  <si>
    <t>安装直属队11上</t>
  </si>
  <si>
    <t>鸿天泽安11上</t>
  </si>
  <si>
    <t>四川蜀远11上</t>
  </si>
  <si>
    <t>四川蜀远11下</t>
  </si>
  <si>
    <t>鸿天泽安11下</t>
  </si>
  <si>
    <t>四川蜀远12上</t>
  </si>
  <si>
    <t>鸿天泽安12上</t>
  </si>
  <si>
    <t>俄罗斯分包小工6月上人工费</t>
  </si>
  <si>
    <t>俄罗斯分包小工6月下人工费</t>
  </si>
  <si>
    <t>ИП Пшуков Леван Ашотович</t>
  </si>
  <si>
    <t>白总小工分包5月下</t>
  </si>
  <si>
    <t>现场小工7月上</t>
  </si>
  <si>
    <t>白总分包小工6月费用</t>
  </si>
  <si>
    <t>中亚小工6月下工资</t>
  </si>
  <si>
    <t>现场小工7月下工资</t>
  </si>
  <si>
    <t>俄罗斯小工8月1日-15日费用</t>
  </si>
  <si>
    <t>ИП Шокиров Олимджон Азимович</t>
  </si>
  <si>
    <t>阿里木小工9月上</t>
  </si>
  <si>
    <t>白总分包小工8月费用</t>
  </si>
  <si>
    <t>阿里木小工9月下</t>
  </si>
  <si>
    <t>阿里木小工10月上</t>
  </si>
  <si>
    <t>亚历山大小工</t>
  </si>
  <si>
    <t>白总分包小工9月费用</t>
  </si>
  <si>
    <t>ООО "АЛЬЯНС"</t>
  </si>
  <si>
    <t>林总小工9下、10上</t>
  </si>
  <si>
    <t>阿里木小工10月下</t>
  </si>
  <si>
    <t>白总分包小工10月费用</t>
  </si>
  <si>
    <t>林总小工10下</t>
  </si>
  <si>
    <t>阿里木小工11月上</t>
  </si>
  <si>
    <t>阿里木小工11下</t>
  </si>
  <si>
    <t>阿里木小工12上</t>
  </si>
  <si>
    <t>002/003单元地脚螺栓</t>
  </si>
  <si>
    <t>423</t>
  </si>
  <si>
    <t>001区域地脚螺栓及预埋件费用</t>
  </si>
  <si>
    <t>689</t>
  </si>
  <si>
    <t>002顶部预埋件及地脚螺栓</t>
  </si>
  <si>
    <t>地脚螺栓</t>
  </si>
  <si>
    <t>4个单元地脚螺栓预埋件</t>
  </si>
  <si>
    <t>预付现场增补地脚螺栓货款</t>
  </si>
  <si>
    <t>地脚螺栓预埋件</t>
  </si>
  <si>
    <t>ООО "ПК "МЕТИЗКОМПЛЕКТ"</t>
  </si>
  <si>
    <t>112</t>
  </si>
  <si>
    <t xml:space="preserve">ООО "НПК СТАТИКА 72" </t>
  </si>
  <si>
    <t>桩基实验</t>
  </si>
  <si>
    <t>556</t>
  </si>
  <si>
    <t>АО "НИЦ "СТРОИТЕЛЬСТВО"</t>
  </si>
  <si>
    <t>桩基评估</t>
  </si>
  <si>
    <t>ООО "БЕТАРМ"</t>
  </si>
  <si>
    <t>vtb-474</t>
  </si>
  <si>
    <t>预制井</t>
  </si>
  <si>
    <t xml:space="preserve">ООО "Пенетрон-Прикамье" </t>
  </si>
  <si>
    <t>vtb-471</t>
  </si>
  <si>
    <t>支付预制井填缝剂费用</t>
  </si>
  <si>
    <t>支付预制井爬梯材料费用</t>
  </si>
  <si>
    <t>增补预制井货款</t>
  </si>
  <si>
    <t xml:space="preserve">ООО "ПРОМСПЕЦТЕХ" </t>
  </si>
  <si>
    <t>45kw/60天租赁费</t>
  </si>
  <si>
    <t>租用</t>
  </si>
  <si>
    <t>100kw/60天租赁费</t>
  </si>
  <si>
    <t xml:space="preserve">ООО "ЭНЕРГОКОНТИНЕНТ" </t>
  </si>
  <si>
    <t>T-400型发电机</t>
  </si>
  <si>
    <t>购置</t>
  </si>
  <si>
    <t>45kw/30天租赁费</t>
  </si>
  <si>
    <t>发电机1227-0131</t>
  </si>
  <si>
    <t xml:space="preserve">ООО "ПСТ" </t>
  </si>
  <si>
    <t>150kw/30天租赁费</t>
  </si>
  <si>
    <t>Завод стройдеталь</t>
  </si>
  <si>
    <t>发电机维修费</t>
  </si>
  <si>
    <t>维修</t>
  </si>
  <si>
    <t>426</t>
  </si>
  <si>
    <t>45千瓦柴油发电机30天租赁费用</t>
  </si>
  <si>
    <t>150千瓦发电机30天租赁及运输费用</t>
  </si>
  <si>
    <t>494</t>
  </si>
  <si>
    <t>45/150千瓦发电机租赁费用（Jun）</t>
  </si>
  <si>
    <t>697</t>
  </si>
  <si>
    <t>MTK租赁</t>
  </si>
  <si>
    <t>295</t>
  </si>
  <si>
    <t xml:space="preserve">ООО "ВЕРШИНА" </t>
  </si>
  <si>
    <t>10千瓦发电机及洗车台</t>
  </si>
  <si>
    <t>ООО "ПРОМСПЕЦТЕХ"</t>
  </si>
  <si>
    <t>40kw发电机租赁费6.25-7.24</t>
  </si>
  <si>
    <t>100kw柴油发电机租赁费</t>
  </si>
  <si>
    <t>柴油发电机租赁费（0610-0709）</t>
  </si>
  <si>
    <t>发电机租赁费</t>
  </si>
  <si>
    <t>ООО ТК "ЧЕРМЕТ"</t>
  </si>
  <si>
    <t>预制场租赁费用</t>
  </si>
  <si>
    <t>预制场10月租金</t>
  </si>
  <si>
    <t>预制场11月租金</t>
  </si>
  <si>
    <t>预制场12月租金</t>
  </si>
  <si>
    <t>预制场电费</t>
  </si>
  <si>
    <t>电费</t>
  </si>
  <si>
    <t xml:space="preserve">ООО "ЭД СЕТЬ" </t>
  </si>
  <si>
    <t>海关电子章</t>
  </si>
  <si>
    <t>vtb-289</t>
  </si>
  <si>
    <t>ООО "КАСТОМ СОФТ"</t>
  </si>
  <si>
    <t>海关软件费</t>
  </si>
  <si>
    <t>vtb-479</t>
  </si>
  <si>
    <t>ФЕДЕРАЛЬНАЯ ТАМОЖЕННАЯ СЛУЖБА</t>
  </si>
  <si>
    <t>海关充值</t>
  </si>
  <si>
    <t>vtb-480</t>
  </si>
  <si>
    <t>ООО "НСК-ТЕРМИНАЛ"</t>
  </si>
  <si>
    <t>叶卡仓储费0622-0627</t>
  </si>
  <si>
    <t>进口物资叶卡超时存放</t>
  </si>
  <si>
    <t>叶卡海关运输费</t>
  </si>
  <si>
    <t>叶卡海关仓储费</t>
  </si>
  <si>
    <t>ГС1 РУС</t>
  </si>
  <si>
    <t>海关自动识别协会入会费</t>
  </si>
  <si>
    <t>ООО "ОПЕРАТОР-ЦРПТ"</t>
  </si>
  <si>
    <t>海关货物贴标签</t>
  </si>
  <si>
    <t>进口物资仓储费</t>
  </si>
  <si>
    <t>ИП Денискин Сергей Александрович</t>
  </si>
  <si>
    <t>货物运输费</t>
  </si>
  <si>
    <t>Межрегиональное операционное УФК (ФТС России)</t>
  </si>
  <si>
    <t>海关罚款</t>
  </si>
  <si>
    <t>海关清关费用充值</t>
  </si>
  <si>
    <t xml:space="preserve">ООО "СИТИЛИНК" </t>
  </si>
  <si>
    <r>
      <rPr>
        <sz val="12"/>
        <rFont val="Times New Roman"/>
        <charset val="134"/>
      </rPr>
      <t>7</t>
    </r>
    <r>
      <rPr>
        <sz val="12"/>
        <rFont val="宋体"/>
        <charset val="134"/>
      </rPr>
      <t>台</t>
    </r>
  </si>
  <si>
    <r>
      <rPr>
        <sz val="12"/>
        <rFont val="宋体"/>
        <charset val="134"/>
      </rPr>
      <t>电脑</t>
    </r>
  </si>
  <si>
    <r>
      <rPr>
        <sz val="12"/>
        <rFont val="Times New Roman"/>
        <charset val="134"/>
      </rPr>
      <t>3</t>
    </r>
    <r>
      <rPr>
        <sz val="12"/>
        <rFont val="宋体"/>
        <charset val="134"/>
      </rPr>
      <t>台</t>
    </r>
  </si>
  <si>
    <r>
      <rPr>
        <sz val="12"/>
        <rFont val="宋体"/>
        <charset val="134"/>
      </rPr>
      <t>饮水机</t>
    </r>
  </si>
  <si>
    <r>
      <rPr>
        <sz val="12"/>
        <rFont val="Times New Roman"/>
        <charset val="134"/>
      </rPr>
      <t>5</t>
    </r>
    <r>
      <rPr>
        <sz val="12"/>
        <rFont val="宋体"/>
        <charset val="134"/>
      </rPr>
      <t>个</t>
    </r>
  </si>
  <si>
    <r>
      <rPr>
        <sz val="12"/>
        <rFont val="宋体"/>
        <charset val="134"/>
      </rPr>
      <t>衣帽架</t>
    </r>
  </si>
  <si>
    <r>
      <rPr>
        <sz val="12"/>
        <rFont val="Times New Roman"/>
        <charset val="134"/>
      </rPr>
      <t>8</t>
    </r>
    <r>
      <rPr>
        <sz val="12"/>
        <rFont val="宋体"/>
        <charset val="134"/>
      </rPr>
      <t>台</t>
    </r>
  </si>
  <si>
    <r>
      <rPr>
        <sz val="12"/>
        <rFont val="宋体"/>
        <charset val="134"/>
      </rPr>
      <t>电暖器</t>
    </r>
  </si>
  <si>
    <t>张耘硕</t>
  </si>
  <si>
    <r>
      <rPr>
        <sz val="12"/>
        <rFont val="Times New Roman"/>
        <charset val="134"/>
      </rPr>
      <t>1</t>
    </r>
    <r>
      <rPr>
        <sz val="12"/>
        <rFont val="宋体"/>
        <charset val="134"/>
      </rPr>
      <t>套</t>
    </r>
  </si>
  <si>
    <t>winPRO</t>
  </si>
  <si>
    <r>
      <rPr>
        <sz val="12"/>
        <rFont val="Times New Roman"/>
        <charset val="134"/>
      </rPr>
      <t>1</t>
    </r>
    <r>
      <rPr>
        <sz val="12"/>
        <rFont val="宋体"/>
        <charset val="134"/>
      </rPr>
      <t>台</t>
    </r>
  </si>
  <si>
    <r>
      <rPr>
        <sz val="12"/>
        <rFont val="宋体"/>
        <charset val="134"/>
      </rPr>
      <t>打印机</t>
    </r>
  </si>
  <si>
    <t xml:space="preserve">ИП Муртазалиев Рабадан Султанбекович </t>
  </si>
  <si>
    <r>
      <rPr>
        <sz val="12"/>
        <rFont val="Times New Roman"/>
        <charset val="134"/>
      </rPr>
      <t>30</t>
    </r>
    <r>
      <rPr>
        <sz val="12"/>
        <rFont val="宋体"/>
        <charset val="134"/>
      </rPr>
      <t>套</t>
    </r>
  </si>
  <si>
    <r>
      <rPr>
        <sz val="12"/>
        <rFont val="宋体"/>
        <charset val="134"/>
      </rPr>
      <t>床上用品</t>
    </r>
  </si>
  <si>
    <t xml:space="preserve">ООО "САМСОН-ПЕРМЬ" </t>
  </si>
  <si>
    <r>
      <rPr>
        <sz val="12"/>
        <rFont val="宋体"/>
        <charset val="134"/>
      </rPr>
      <t>咖啡机</t>
    </r>
  </si>
  <si>
    <r>
      <rPr>
        <sz val="12"/>
        <rFont val="Times New Roman"/>
        <charset val="134"/>
      </rPr>
      <t>29</t>
    </r>
    <r>
      <rPr>
        <sz val="12"/>
        <rFont val="宋体"/>
        <charset val="134"/>
      </rPr>
      <t>把椅子</t>
    </r>
    <r>
      <rPr>
        <sz val="12"/>
        <rFont val="Times New Roman"/>
        <charset val="134"/>
      </rPr>
      <t xml:space="preserve"> </t>
    </r>
  </si>
  <si>
    <r>
      <rPr>
        <sz val="12"/>
        <rFont val="宋体"/>
        <charset val="134"/>
      </rPr>
      <t>办公桌椅</t>
    </r>
  </si>
  <si>
    <r>
      <rPr>
        <sz val="12"/>
        <rFont val="宋体"/>
        <charset val="134"/>
      </rPr>
      <t>金属文件柜</t>
    </r>
  </si>
  <si>
    <r>
      <rPr>
        <sz val="12"/>
        <rFont val="Times New Roman"/>
        <charset val="134"/>
      </rPr>
      <t>9</t>
    </r>
    <r>
      <rPr>
        <sz val="12"/>
        <rFont val="宋体"/>
        <charset val="134"/>
      </rPr>
      <t>套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</si>
  <si>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台</t>
    </r>
  </si>
  <si>
    <r>
      <rPr>
        <sz val="12"/>
        <rFont val="Times New Roman"/>
        <charset val="134"/>
      </rPr>
      <t>6</t>
    </r>
    <r>
      <rPr>
        <sz val="12"/>
        <rFont val="宋体"/>
        <charset val="134"/>
      </rPr>
      <t>台</t>
    </r>
  </si>
  <si>
    <r>
      <rPr>
        <sz val="12"/>
        <rFont val="宋体"/>
        <charset val="134"/>
      </rPr>
      <t>冰柜</t>
    </r>
  </si>
  <si>
    <r>
      <rPr>
        <sz val="12"/>
        <rFont val="宋体"/>
        <charset val="134"/>
      </rPr>
      <t>冰箱</t>
    </r>
  </si>
  <si>
    <r>
      <rPr>
        <sz val="12"/>
        <rFont val="宋体"/>
        <charset val="134"/>
      </rPr>
      <t>洗衣机</t>
    </r>
  </si>
  <si>
    <r>
      <rPr>
        <sz val="12"/>
        <rFont val="Times New Roman"/>
        <charset val="134"/>
      </rPr>
      <t>1</t>
    </r>
    <r>
      <rPr>
        <sz val="12"/>
        <rFont val="宋体"/>
        <charset val="134"/>
      </rPr>
      <t>个</t>
    </r>
  </si>
  <si>
    <r>
      <rPr>
        <sz val="12"/>
        <rFont val="宋体"/>
        <charset val="134"/>
      </rPr>
      <t>微波炉</t>
    </r>
  </si>
  <si>
    <r>
      <rPr>
        <sz val="12"/>
        <rFont val="Times New Roman"/>
        <charset val="134"/>
      </rPr>
      <t>12</t>
    </r>
    <r>
      <rPr>
        <sz val="12"/>
        <rFont val="宋体"/>
        <charset val="134"/>
      </rPr>
      <t>张桌子</t>
    </r>
  </si>
  <si>
    <r>
      <rPr>
        <sz val="12"/>
        <rFont val="Times New Roman"/>
        <charset val="134"/>
      </rPr>
      <t>40</t>
    </r>
    <r>
      <rPr>
        <sz val="12"/>
        <rFont val="宋体"/>
        <charset val="134"/>
      </rPr>
      <t>折叠椅</t>
    </r>
  </si>
  <si>
    <t>1台</t>
  </si>
  <si>
    <t>市区办公室2台打印机-DNS</t>
  </si>
  <si>
    <t>电脑、打印机、显示器、路由器等</t>
  </si>
  <si>
    <t>ООО "ОФИС ТРЕНД"</t>
  </si>
  <si>
    <t>办公桌</t>
  </si>
  <si>
    <r>
      <rPr>
        <sz val="12"/>
        <rFont val="宋体-简"/>
        <charset val="134"/>
      </rPr>
      <t>办公桌</t>
    </r>
  </si>
  <si>
    <t>俄籍总工laptop</t>
  </si>
  <si>
    <t>办公用品墨盒</t>
  </si>
  <si>
    <t>办公用品咖啡豆</t>
  </si>
  <si>
    <t>办公用品文具</t>
  </si>
  <si>
    <t>Caмcoн -Пepмь</t>
  </si>
  <si>
    <t>ООО "КОМУС"</t>
  </si>
  <si>
    <t>8月办公用品款</t>
  </si>
  <si>
    <t>ИП Плахутин Евгений Викторович</t>
  </si>
  <si>
    <t>食堂50升保温桶20个</t>
  </si>
  <si>
    <t>комус办公用品</t>
  </si>
  <si>
    <t>零星办公</t>
  </si>
  <si>
    <t>沙子</t>
  </si>
  <si>
    <t>ООО "ГАРАНТТРАНСГРУПП"</t>
  </si>
  <si>
    <t>支付沙子费用（代付惠生）</t>
  </si>
  <si>
    <t>石子</t>
  </si>
  <si>
    <t>支付石子143.34吨费用</t>
  </si>
  <si>
    <t>ООО "АКБ-ЛОГИСТИК"</t>
  </si>
  <si>
    <t>砂石</t>
  </si>
  <si>
    <t>刘振</t>
  </si>
  <si>
    <t>已使用</t>
  </si>
  <si>
    <t>197</t>
  </si>
  <si>
    <t>vtb-440</t>
  </si>
  <si>
    <t>已取出</t>
  </si>
  <si>
    <t>向汪洋</t>
  </si>
  <si>
    <t>王福容</t>
  </si>
  <si>
    <r>
      <rPr>
        <sz val="12"/>
        <rFont val="宋体-简"/>
        <charset val="134"/>
      </rPr>
      <t>专家签</t>
    </r>
    <r>
      <rPr>
        <sz val="12"/>
        <rFont val="Times New Roman"/>
        <charset val="134"/>
      </rPr>
      <t>7</t>
    </r>
    <r>
      <rPr>
        <sz val="12"/>
        <rFont val="宋体-简"/>
        <charset val="134"/>
      </rPr>
      <t>人</t>
    </r>
  </si>
  <si>
    <r>
      <rPr>
        <sz val="12"/>
        <rFont val="宋体-简"/>
        <charset val="134"/>
      </rPr>
      <t>专家签</t>
    </r>
    <r>
      <rPr>
        <sz val="12"/>
        <rFont val="Times New Roman"/>
        <charset val="134"/>
      </rPr>
      <t>8</t>
    </r>
    <r>
      <rPr>
        <sz val="12"/>
        <rFont val="宋体-简"/>
        <charset val="134"/>
      </rPr>
      <t>人</t>
    </r>
  </si>
  <si>
    <t>高鹏</t>
  </si>
  <si>
    <t>李佳妮</t>
  </si>
  <si>
    <t>徐永敏</t>
  </si>
  <si>
    <t>侯吉儒</t>
  </si>
  <si>
    <t>杨梦琪</t>
  </si>
  <si>
    <t>专家签薪酬7月上-王福容</t>
  </si>
  <si>
    <t>专家签薪酬7月上-高    鹏</t>
  </si>
  <si>
    <t>专家签薪酬7月上-向汪洋</t>
  </si>
  <si>
    <t>专家签薪酬7月上-刘    振</t>
  </si>
  <si>
    <t>专家签薪酬7月上-侯吉儒</t>
  </si>
  <si>
    <t>专家签薪酬7月上-李佳妮</t>
  </si>
  <si>
    <t>专家签薪酬7月上-杨梦琪</t>
  </si>
  <si>
    <t>专家签薪酬7月上-徐永敏</t>
  </si>
  <si>
    <t>7月下薪酬专家签</t>
  </si>
  <si>
    <t>8月上薪酬专家签</t>
  </si>
  <si>
    <t>8下</t>
  </si>
  <si>
    <t>专家签9月上</t>
  </si>
  <si>
    <t>专家签9月下</t>
  </si>
  <si>
    <t>专家签10月上</t>
  </si>
  <si>
    <t>项目部离职工资</t>
  </si>
  <si>
    <t>专家签工资</t>
  </si>
  <si>
    <t>管理人员离职</t>
  </si>
  <si>
    <t>管理人员11上</t>
  </si>
  <si>
    <t>专家签11下</t>
  </si>
  <si>
    <t>专家签12上</t>
  </si>
  <si>
    <t>安装止水套管</t>
  </si>
  <si>
    <t xml:space="preserve">ИП Анисимов Максим Андреевич </t>
  </si>
  <si>
    <t>点位测量</t>
  </si>
  <si>
    <t>Западно-Уральский аттестационный центр</t>
  </si>
  <si>
    <t>焊接工艺评定材料费</t>
  </si>
  <si>
    <t>ИП Анисимов Максим Андреевич</t>
  </si>
  <si>
    <t>土建实验室检测款</t>
  </si>
  <si>
    <t>截桩检测</t>
  </si>
  <si>
    <t>计量器具检测费</t>
  </si>
  <si>
    <t>ИП Исупов Андрей Юрьевич</t>
  </si>
  <si>
    <t>全站仪检测费</t>
  </si>
  <si>
    <t>测量分包08月进度款</t>
  </si>
  <si>
    <t>扭矩扳手检测费</t>
  </si>
  <si>
    <t>土建实验室</t>
  </si>
  <si>
    <t>彼尔姆现场点位测量</t>
  </si>
  <si>
    <t>计量器具检测费-客商ООО СИМПЛ</t>
  </si>
  <si>
    <t>5+1（10月批次）</t>
  </si>
  <si>
    <t>ООО "СМСЛ"</t>
  </si>
  <si>
    <t>无损检测</t>
  </si>
  <si>
    <t>ООО "ШЕЙН"</t>
  </si>
  <si>
    <t>钢板桩分包预付款</t>
  </si>
  <si>
    <t>钢板桩分包款</t>
  </si>
  <si>
    <t>Сулейманов Виталий Сергеевич</t>
  </si>
  <si>
    <t>电气工程师安全培训</t>
  </si>
  <si>
    <t xml:space="preserve">Сулейманов Виталий Сергеевич </t>
  </si>
  <si>
    <t xml:space="preserve">АНО ДПО "АКАДЕМИЯ ОХРАНЫ ТРУДА" </t>
  </si>
  <si>
    <t>教育培训费（乌拉尔教育）</t>
  </si>
  <si>
    <t>培训考证机构</t>
  </si>
  <si>
    <t>焊工考试、换证费</t>
  </si>
  <si>
    <t>ЧОУ ВО "ЗУИЭП"</t>
  </si>
  <si>
    <t>33人俄语考试培训费用</t>
  </si>
  <si>
    <t>ГАУ ПК "ММЦ"</t>
  </si>
  <si>
    <t>10人俄语考试费</t>
  </si>
  <si>
    <t>培训取证考试报名费</t>
  </si>
  <si>
    <t>33名工人俄语考试费</t>
  </si>
  <si>
    <t>安全工作条件评估</t>
  </si>
  <si>
    <t>培训取证费</t>
  </si>
  <si>
    <t>ООО "ПЕТРА ГРУПП"</t>
  </si>
  <si>
    <t>质量员证书</t>
  </si>
  <si>
    <t>ООО "НТФ "ЦАСП"</t>
  </si>
  <si>
    <t>管道焊接工艺评定认证费</t>
  </si>
  <si>
    <t>ICBC</t>
  </si>
  <si>
    <t>VTB银行转账服务费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</si>
</sst>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;[Red]\-&quot;$&quot;#,##0"/>
    <numFmt numFmtId="177" formatCode="yyyy/m/d;@"/>
  </numFmts>
  <fonts count="36">
    <font>
      <sz val="12"/>
      <name val="宋体"/>
      <charset val="134"/>
    </font>
    <font>
      <sz val="12"/>
      <name val="Times New Roman"/>
      <charset val="134"/>
    </font>
    <font>
      <sz val="12"/>
      <name val="宋体-简"/>
      <charset val="134"/>
    </font>
    <font>
      <sz val="6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"/>
      <charset val="134"/>
    </font>
    <font>
      <sz val="11"/>
      <name val="Times New Roman Regular"/>
      <charset val="134"/>
    </font>
    <font>
      <sz val="11"/>
      <color theme="1"/>
      <name val="宋体-简"/>
      <charset val="134"/>
    </font>
    <font>
      <sz val="11"/>
      <color rgb="FF000000"/>
      <name val="Times New Roman Regular"/>
      <charset val="134"/>
    </font>
    <font>
      <sz val="11"/>
      <color rgb="FF000000"/>
      <name val="宋体"/>
      <charset val="134"/>
    </font>
    <font>
      <sz val="11"/>
      <color rgb="FF000000"/>
      <name val="宋体-简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2"/>
      <name val="Times New Roman Regular"/>
      <charset val="134"/>
    </font>
    <font>
      <sz val="9"/>
      <color indexed="8"/>
      <name val="微软雅黑"/>
      <charset val="134"/>
    </font>
    <font>
      <sz val="10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5" applyNumberFormat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27" fillId="4" borderId="5" applyNumberFormat="0" applyAlignment="0" applyProtection="0">
      <alignment vertical="center"/>
    </xf>
    <xf numFmtId="0" fontId="28" fillId="5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protection locked="0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0" fillId="0" borderId="0" xfId="0" applyNumberFormat="1">
      <alignment vertical="center"/>
    </xf>
    <xf numFmtId="43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Fill="1" applyAlignment="1">
      <alignment vertical="center"/>
    </xf>
    <xf numFmtId="14" fontId="4" fillId="0" borderId="0" xfId="0" applyNumberFormat="1" applyFont="1" applyFill="1" applyAlignment="1">
      <alignment vertical="center"/>
    </xf>
    <xf numFmtId="4" fontId="4" fillId="0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horizontal="center" vertical="center"/>
    </xf>
    <xf numFmtId="4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 shrinkToFit="1"/>
    </xf>
    <xf numFmtId="49" fontId="1" fillId="0" borderId="0" xfId="0" applyNumberFormat="1" applyFont="1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left" vertical="center"/>
    </xf>
    <xf numFmtId="43" fontId="14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shrinkToFit="1"/>
    </xf>
    <xf numFmtId="0" fontId="1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 shrinkToFit="1"/>
    </xf>
    <xf numFmtId="49" fontId="0" fillId="0" borderId="0" xfId="0" applyNumberFormat="1" applyBorder="1" applyAlignment="1">
      <alignment horizontal="center" vertical="center"/>
    </xf>
    <xf numFmtId="0" fontId="9" fillId="0" borderId="0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4" fontId="0" fillId="0" borderId="0" xfId="0" applyNumberFormat="1" applyAlignment="1" quotePrefix="1">
      <alignment horizontal="center" vertical="center"/>
    </xf>
    <xf numFmtId="43" fontId="0" fillId="0" borderId="0" xfId="0" applyNumberFormat="1" quotePrefix="1">
      <alignment vertical="center"/>
    </xf>
    <xf numFmtId="57" fontId="0" fillId="0" borderId="0" xfId="0" applyNumberFormat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3 3" xfId="50"/>
    <cellStyle name="千位分隔 15" xfId="51"/>
    <cellStyle name="千位分隔 9_资金收支情况表 (2)_1" xfId="52"/>
    <cellStyle name="常规_Sheet1 3_北京分公司6月份收支报表" xfId="53"/>
  </cellStyles>
  <tableStyles count="0" defaultTableStyle="TableStyleMedium2" defaultPivotStyle="PivotStyleLight16"/>
  <colors>
    <mruColors>
      <color rgb="00008000"/>
      <color rgb="0099CCFF"/>
      <color rgb="0000B0F0"/>
      <color rgb="00FF0000"/>
      <color rgb="00F2F2F2"/>
      <color rgb="0000B050"/>
      <color rgb="00CCFFCC"/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topLeftCell="A187" workbookViewId="0">
      <selection activeCell="F202" sqref="F202"/>
    </sheetView>
  </sheetViews>
  <sheetFormatPr defaultColWidth="9.16071428571429" defaultRowHeight="17.6" outlineLevelCol="6"/>
  <cols>
    <col min="1" max="1" width="51.3392857142857" style="37" customWidth="1"/>
    <col min="2" max="2" width="27" customWidth="1"/>
    <col min="3" max="3" width="12" customWidth="1"/>
    <col min="4" max="4" width="14.6607142857143" style="2" customWidth="1"/>
    <col min="6" max="6" width="8.5" style="1" customWidth="1"/>
    <col min="7" max="7" width="8.5" style="8" customWidth="1"/>
  </cols>
  <sheetData>
    <row r="1" s="1" customFormat="1" ht="18" spans="1:7">
      <c r="A1" s="3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C2" s="4">
        <v>45678</v>
      </c>
      <c r="D2" s="2">
        <v>50000</v>
      </c>
      <c r="E2" t="s">
        <v>7</v>
      </c>
      <c r="F2" s="1" t="s">
        <v>8</v>
      </c>
    </row>
    <row r="3" spans="1:7">
      <c r="C3" s="4">
        <v>45713</v>
      </c>
      <c r="D3" s="2">
        <v>705</v>
      </c>
      <c r="E3" t="s">
        <v>7</v>
      </c>
      <c r="F3" s="1" t="s">
        <v>8</v>
      </c>
    </row>
    <row r="4" spans="1:7">
      <c r="B4" t="s">
        <v>9</v>
      </c>
      <c r="C4" s="4">
        <v>45713</v>
      </c>
      <c r="D4" s="2">
        <v>400</v>
      </c>
      <c r="E4" t="s">
        <v>7</v>
      </c>
      <c r="F4" s="1" t="s">
        <v>8</v>
      </c>
    </row>
    <row r="5" spans="1:7">
      <c r="A5" s="37" t="s">
        <v>10</v>
      </c>
      <c r="B5" t="s">
        <v>11</v>
      </c>
      <c r="C5" s="4">
        <v>45722</v>
      </c>
      <c r="D5" s="2">
        <v>510</v>
      </c>
      <c r="E5" t="s">
        <v>7</v>
      </c>
      <c r="F5" s="1" t="s">
        <v>12</v>
      </c>
      <c r="G5" s="8">
        <v>178</v>
      </c>
    </row>
    <row r="6" spans="1:7">
      <c r="A6" s="37" t="s">
        <v>13</v>
      </c>
      <c r="B6" t="s">
        <v>14</v>
      </c>
      <c r="C6" s="4">
        <v>45722</v>
      </c>
      <c r="D6" s="2">
        <v>7500</v>
      </c>
      <c r="E6" t="s">
        <v>15</v>
      </c>
      <c r="F6" s="1" t="s">
        <v>8</v>
      </c>
      <c r="G6" s="8">
        <v>175</v>
      </c>
    </row>
    <row r="7" spans="1:7">
      <c r="A7" s="37" t="s">
        <v>16</v>
      </c>
      <c r="B7" t="s">
        <v>17</v>
      </c>
      <c r="C7" s="4">
        <v>45722</v>
      </c>
      <c r="D7" s="2">
        <v>144750</v>
      </c>
      <c r="E7" t="s">
        <v>18</v>
      </c>
      <c r="F7" s="1" t="s">
        <v>8</v>
      </c>
      <c r="G7" s="8">
        <v>190</v>
      </c>
    </row>
    <row r="8" spans="1:7">
      <c r="B8" t="s">
        <v>19</v>
      </c>
      <c r="C8" s="4">
        <v>45621</v>
      </c>
      <c r="D8" s="2">
        <v>3000</v>
      </c>
      <c r="E8" t="s">
        <v>15</v>
      </c>
      <c r="F8" s="1" t="s">
        <v>8</v>
      </c>
    </row>
    <row r="9" spans="1:7">
      <c r="B9" t="s">
        <v>20</v>
      </c>
      <c r="C9" s="4">
        <v>45645</v>
      </c>
      <c r="D9" s="2">
        <v>20000</v>
      </c>
      <c r="E9" t="s">
        <v>21</v>
      </c>
      <c r="F9" s="1" t="s">
        <v>8</v>
      </c>
    </row>
    <row r="10" spans="1:7">
      <c r="B10" t="s">
        <v>22</v>
      </c>
      <c r="C10" s="4">
        <v>45651</v>
      </c>
      <c r="D10" s="2">
        <v>45000</v>
      </c>
      <c r="E10" t="s">
        <v>23</v>
      </c>
      <c r="F10" s="1" t="s">
        <v>8</v>
      </c>
    </row>
    <row r="11" spans="1:7">
      <c r="B11" t="s">
        <v>24</v>
      </c>
      <c r="C11" s="4">
        <v>45652</v>
      </c>
      <c r="D11" s="2">
        <v>39683</v>
      </c>
      <c r="E11" t="s">
        <v>15</v>
      </c>
      <c r="F11" s="1" t="s">
        <v>8</v>
      </c>
    </row>
    <row r="12" spans="1:7">
      <c r="B12" t="s">
        <v>25</v>
      </c>
      <c r="C12" s="4">
        <v>45630</v>
      </c>
      <c r="D12" s="2">
        <v>120000</v>
      </c>
      <c r="E12" t="s">
        <v>26</v>
      </c>
      <c r="F12" s="1" t="s">
        <v>8</v>
      </c>
    </row>
    <row r="13" spans="1:7">
      <c r="B13" t="s">
        <v>25</v>
      </c>
      <c r="C13" s="4">
        <v>45637</v>
      </c>
      <c r="D13" s="2">
        <v>12000</v>
      </c>
      <c r="E13" t="s">
        <v>26</v>
      </c>
      <c r="F13" s="1" t="s">
        <v>8</v>
      </c>
    </row>
    <row r="14" spans="1:7">
      <c r="B14" t="s">
        <v>27</v>
      </c>
      <c r="C14" s="4">
        <v>45692</v>
      </c>
      <c r="D14" s="2">
        <v>8000</v>
      </c>
      <c r="E14" t="s">
        <v>28</v>
      </c>
      <c r="F14" s="1" t="s">
        <v>8</v>
      </c>
    </row>
    <row r="15" spans="1:7">
      <c r="B15" t="s">
        <v>29</v>
      </c>
      <c r="C15" s="4">
        <v>45677</v>
      </c>
      <c r="D15" s="2">
        <v>40000</v>
      </c>
      <c r="E15" t="s">
        <v>30</v>
      </c>
      <c r="F15" s="1" t="s">
        <v>8</v>
      </c>
    </row>
    <row r="16" spans="1:7">
      <c r="B16" t="s">
        <v>31</v>
      </c>
      <c r="C16" s="4">
        <v>45671</v>
      </c>
      <c r="D16" s="2">
        <v>500</v>
      </c>
      <c r="E16" t="s">
        <v>15</v>
      </c>
      <c r="F16" s="1" t="s">
        <v>8</v>
      </c>
    </row>
    <row r="17" spans="2:6">
      <c r="B17" t="s">
        <v>31</v>
      </c>
      <c r="C17" s="4">
        <v>45678</v>
      </c>
      <c r="D17" s="2">
        <v>1500</v>
      </c>
      <c r="E17" t="s">
        <v>15</v>
      </c>
      <c r="F17" s="1" t="s">
        <v>8</v>
      </c>
    </row>
    <row r="18" spans="2:6">
      <c r="B18" t="s">
        <v>31</v>
      </c>
      <c r="C18" s="4">
        <v>45679</v>
      </c>
      <c r="D18" s="2">
        <v>500</v>
      </c>
      <c r="E18" t="s">
        <v>15</v>
      </c>
      <c r="F18" s="1" t="s">
        <v>8</v>
      </c>
    </row>
    <row r="19" spans="2:6">
      <c r="B19" t="s">
        <v>31</v>
      </c>
      <c r="C19" s="4">
        <v>45684</v>
      </c>
      <c r="D19" s="2">
        <v>1500</v>
      </c>
      <c r="E19" t="s">
        <v>15</v>
      </c>
      <c r="F19" s="1" t="s">
        <v>8</v>
      </c>
    </row>
    <row r="20" spans="2:6">
      <c r="B20" t="s">
        <v>31</v>
      </c>
      <c r="C20" s="4">
        <v>45684</v>
      </c>
      <c r="D20" s="2">
        <v>2000</v>
      </c>
      <c r="E20" t="s">
        <v>15</v>
      </c>
      <c r="F20" s="1" t="s">
        <v>8</v>
      </c>
    </row>
    <row r="21" spans="2:6">
      <c r="B21" t="s">
        <v>31</v>
      </c>
      <c r="C21" s="4">
        <v>45604</v>
      </c>
      <c r="D21" s="2">
        <v>61464</v>
      </c>
      <c r="E21" t="s">
        <v>32</v>
      </c>
      <c r="F21" s="1" t="s">
        <v>8</v>
      </c>
    </row>
    <row r="22" spans="2:6">
      <c r="B22" t="s">
        <v>31</v>
      </c>
      <c r="C22" s="4">
        <v>45691</v>
      </c>
      <c r="D22" s="2">
        <v>2000</v>
      </c>
      <c r="E22" t="s">
        <v>15</v>
      </c>
      <c r="F22" s="1" t="s">
        <v>8</v>
      </c>
    </row>
    <row r="23" spans="2:6">
      <c r="B23" t="s">
        <v>31</v>
      </c>
      <c r="C23" s="4">
        <v>45694</v>
      </c>
      <c r="D23" s="2">
        <v>1500</v>
      </c>
      <c r="E23" t="s">
        <v>15</v>
      </c>
      <c r="F23" s="1" t="s">
        <v>8</v>
      </c>
    </row>
    <row r="24" spans="2:6">
      <c r="B24" t="s">
        <v>31</v>
      </c>
      <c r="C24" s="4">
        <v>45694</v>
      </c>
      <c r="D24" s="2">
        <v>1950</v>
      </c>
      <c r="E24" t="s">
        <v>15</v>
      </c>
      <c r="F24" s="1" t="s">
        <v>8</v>
      </c>
    </row>
    <row r="25" spans="2:6">
      <c r="B25" t="s">
        <v>31</v>
      </c>
      <c r="C25" s="4">
        <v>45713</v>
      </c>
      <c r="D25" s="2">
        <v>5200</v>
      </c>
      <c r="E25" t="s">
        <v>15</v>
      </c>
      <c r="F25" s="1" t="s">
        <v>8</v>
      </c>
    </row>
    <row r="26" spans="2:6">
      <c r="B26" t="s">
        <v>33</v>
      </c>
      <c r="C26" s="4">
        <v>45712</v>
      </c>
      <c r="D26" s="2">
        <v>5000</v>
      </c>
      <c r="E26" t="s">
        <v>34</v>
      </c>
      <c r="F26" s="1" t="s">
        <v>8</v>
      </c>
    </row>
    <row r="27" spans="2:6">
      <c r="B27" t="s">
        <v>35</v>
      </c>
      <c r="C27" s="4">
        <v>45677</v>
      </c>
      <c r="D27" s="2">
        <v>4000</v>
      </c>
      <c r="E27" t="s">
        <v>15</v>
      </c>
      <c r="F27" s="1" t="s">
        <v>8</v>
      </c>
    </row>
    <row r="28" spans="2:6">
      <c r="B28" t="s">
        <v>36</v>
      </c>
      <c r="C28" s="4">
        <v>45687</v>
      </c>
      <c r="D28" s="2">
        <v>17990</v>
      </c>
      <c r="E28" t="s">
        <v>37</v>
      </c>
      <c r="F28" s="1" t="s">
        <v>8</v>
      </c>
    </row>
    <row r="29" spans="2:6">
      <c r="B29" t="s">
        <v>36</v>
      </c>
      <c r="C29" s="4">
        <v>45651</v>
      </c>
      <c r="D29" s="2">
        <v>26100</v>
      </c>
      <c r="E29" t="s">
        <v>37</v>
      </c>
      <c r="F29" s="1" t="s">
        <v>8</v>
      </c>
    </row>
    <row r="30" spans="2:6">
      <c r="B30" t="s">
        <v>36</v>
      </c>
      <c r="C30" s="4">
        <v>45705</v>
      </c>
      <c r="D30" s="2">
        <v>8669.47</v>
      </c>
      <c r="E30" t="s">
        <v>37</v>
      </c>
      <c r="F30" s="1" t="s">
        <v>8</v>
      </c>
    </row>
    <row r="31" spans="2:6">
      <c r="B31" t="s">
        <v>36</v>
      </c>
      <c r="C31" s="4">
        <v>45713</v>
      </c>
      <c r="D31" s="2">
        <v>19100</v>
      </c>
      <c r="E31" t="s">
        <v>37</v>
      </c>
      <c r="F31" s="1" t="s">
        <v>8</v>
      </c>
    </row>
    <row r="32" spans="2:6">
      <c r="B32" t="s">
        <v>38</v>
      </c>
      <c r="C32" s="4">
        <v>45650</v>
      </c>
      <c r="D32" s="2">
        <v>42387</v>
      </c>
      <c r="E32" s="1" t="s">
        <v>39</v>
      </c>
      <c r="F32" s="1" t="s">
        <v>8</v>
      </c>
    </row>
    <row r="33" spans="1:7">
      <c r="B33" t="s">
        <v>40</v>
      </c>
      <c r="C33" s="4">
        <v>45677</v>
      </c>
      <c r="D33" s="2">
        <v>14300</v>
      </c>
      <c r="E33" s="1" t="s">
        <v>39</v>
      </c>
      <c r="F33" s="1" t="s">
        <v>8</v>
      </c>
    </row>
    <row r="34" spans="1:7">
      <c r="A34" s="46"/>
      <c r="B34" t="s">
        <v>40</v>
      </c>
      <c r="C34" s="4">
        <v>45713</v>
      </c>
      <c r="D34" s="2">
        <v>15730</v>
      </c>
      <c r="E34" s="1" t="s">
        <v>39</v>
      </c>
      <c r="F34" s="1" t="s">
        <v>8</v>
      </c>
      <c r="G34" s="47"/>
    </row>
    <row r="35" spans="1:7">
      <c r="A35" s="46"/>
      <c r="B35" t="s">
        <v>41</v>
      </c>
      <c r="C35" s="4">
        <v>45694</v>
      </c>
      <c r="D35" s="2">
        <f>17650+1779</f>
        <v>19429</v>
      </c>
      <c r="E35" t="s">
        <v>42</v>
      </c>
      <c r="F35" s="1" t="s">
        <v>8</v>
      </c>
      <c r="G35" s="47"/>
    </row>
    <row r="36" spans="1:7">
      <c r="A36" s="46" t="s">
        <v>43</v>
      </c>
      <c r="B36" t="s">
        <v>44</v>
      </c>
      <c r="C36" s="4">
        <v>45741</v>
      </c>
      <c r="D36" s="2">
        <v>85740</v>
      </c>
      <c r="E36" t="s">
        <v>15</v>
      </c>
      <c r="F36" s="1" t="s">
        <v>8</v>
      </c>
      <c r="G36" s="47"/>
    </row>
    <row r="37" spans="1:7">
      <c r="A37" s="48" t="s">
        <v>45</v>
      </c>
      <c r="B37" s="49" t="s">
        <v>25</v>
      </c>
      <c r="C37" s="4">
        <v>45791</v>
      </c>
      <c r="D37" s="2">
        <v>15000</v>
      </c>
      <c r="E37" t="s">
        <v>26</v>
      </c>
      <c r="F37" s="1" t="s">
        <v>8</v>
      </c>
      <c r="G37" s="47"/>
    </row>
    <row r="38" spans="1:7">
      <c r="A38" s="46" t="s">
        <v>46</v>
      </c>
      <c r="B38" t="s">
        <v>47</v>
      </c>
      <c r="C38" s="4">
        <v>45805</v>
      </c>
      <c r="D38" s="2">
        <v>6557.2</v>
      </c>
      <c r="E38" t="s">
        <v>15</v>
      </c>
      <c r="F38" s="1" t="s">
        <v>8</v>
      </c>
      <c r="G38" s="47"/>
    </row>
    <row r="39" spans="1:7">
      <c r="A39" s="46" t="s">
        <v>48</v>
      </c>
      <c r="B39" t="s">
        <v>49</v>
      </c>
      <c r="C39" s="4">
        <v>45803</v>
      </c>
      <c r="D39" s="2">
        <v>4300</v>
      </c>
      <c r="E39" t="s">
        <v>15</v>
      </c>
      <c r="G39" s="47"/>
    </row>
    <row r="40" spans="1:7">
      <c r="A40" s="37" t="s">
        <v>50</v>
      </c>
      <c r="B40" t="s">
        <v>51</v>
      </c>
      <c r="C40" s="4">
        <v>45797</v>
      </c>
      <c r="D40" s="2">
        <v>1846</v>
      </c>
      <c r="E40" t="s">
        <v>15</v>
      </c>
    </row>
    <row r="41" spans="1:7">
      <c r="A41" s="37" t="s">
        <v>52</v>
      </c>
      <c r="B41" t="s">
        <v>53</v>
      </c>
      <c r="C41" s="4">
        <v>45797</v>
      </c>
      <c r="D41" s="2">
        <v>3388</v>
      </c>
      <c r="E41" t="s">
        <v>15</v>
      </c>
    </row>
    <row r="42" spans="1:7">
      <c r="A42" s="37" t="s">
        <v>54</v>
      </c>
      <c r="B42" t="s">
        <v>55</v>
      </c>
      <c r="C42" s="4">
        <v>45797</v>
      </c>
      <c r="D42" s="2">
        <v>4800</v>
      </c>
      <c r="E42" t="s">
        <v>15</v>
      </c>
    </row>
    <row r="43" spans="1:7">
      <c r="A43" s="37" t="s">
        <v>56</v>
      </c>
      <c r="B43" t="s">
        <v>57</v>
      </c>
      <c r="C43" s="4">
        <v>45797</v>
      </c>
      <c r="D43" s="2">
        <v>5300</v>
      </c>
      <c r="E43" t="s">
        <v>15</v>
      </c>
    </row>
    <row r="44" spans="1:7">
      <c r="A44" s="37" t="s">
        <v>56</v>
      </c>
      <c r="B44" t="s">
        <v>58</v>
      </c>
      <c r="C44" s="4">
        <v>45797</v>
      </c>
      <c r="D44" s="2">
        <v>27762.82</v>
      </c>
      <c r="E44" t="s">
        <v>15</v>
      </c>
    </row>
    <row r="45" spans="1:7">
      <c r="A45" s="37" t="s">
        <v>59</v>
      </c>
      <c r="B45" t="s">
        <v>60</v>
      </c>
      <c r="C45" s="4">
        <v>45791</v>
      </c>
      <c r="D45" s="2">
        <v>24812</v>
      </c>
      <c r="E45" t="s">
        <v>37</v>
      </c>
    </row>
    <row r="46" spans="1:7">
      <c r="A46" s="37" t="s">
        <v>61</v>
      </c>
      <c r="B46" t="s">
        <v>62</v>
      </c>
      <c r="C46" s="4">
        <v>45791</v>
      </c>
      <c r="D46" s="2">
        <v>30360</v>
      </c>
      <c r="E46" t="s">
        <v>15</v>
      </c>
    </row>
    <row r="47" spans="1:7">
      <c r="A47" s="37" t="s">
        <v>63</v>
      </c>
      <c r="B47" t="s">
        <v>64</v>
      </c>
      <c r="C47" s="4">
        <v>45791</v>
      </c>
      <c r="D47" s="2">
        <v>200000</v>
      </c>
      <c r="E47" t="s">
        <v>7</v>
      </c>
    </row>
    <row r="48" customFormat="1" spans="1:7">
      <c r="A48" s="19"/>
      <c r="B48" t="s">
        <v>65</v>
      </c>
      <c r="C48" s="4">
        <v>45685</v>
      </c>
      <c r="D48" s="2">
        <v>13938</v>
      </c>
      <c r="E48" t="s">
        <v>66</v>
      </c>
      <c r="F48" s="1" t="s">
        <v>8</v>
      </c>
      <c r="G48" s="1"/>
    </row>
    <row r="49" customFormat="1" spans="1:7">
      <c r="A49" s="19"/>
      <c r="B49" t="s">
        <v>67</v>
      </c>
      <c r="C49" s="4">
        <v>45639</v>
      </c>
      <c r="D49" s="2">
        <v>12000</v>
      </c>
      <c r="E49" t="s">
        <v>66</v>
      </c>
      <c r="F49" s="1" t="s">
        <v>8</v>
      </c>
      <c r="G49" s="1"/>
    </row>
    <row r="50" customFormat="1" spans="1:7">
      <c r="A50" s="19"/>
      <c r="B50" t="s">
        <v>68</v>
      </c>
      <c r="C50" s="4">
        <v>45636</v>
      </c>
      <c r="D50" s="2">
        <v>108338</v>
      </c>
      <c r="E50" t="s">
        <v>66</v>
      </c>
      <c r="F50" s="1" t="s">
        <v>8</v>
      </c>
      <c r="G50" s="1"/>
    </row>
    <row r="51" customFormat="1" spans="1:7">
      <c r="A51" s="19"/>
      <c r="B51" t="s">
        <v>69</v>
      </c>
      <c r="C51" s="4">
        <v>45636</v>
      </c>
      <c r="D51" s="2">
        <v>18354.38</v>
      </c>
      <c r="E51" t="s">
        <v>66</v>
      </c>
      <c r="F51" s="1" t="s">
        <v>8</v>
      </c>
      <c r="G51" s="1"/>
    </row>
    <row r="52" customFormat="1" spans="1:7">
      <c r="A52" s="37" t="s">
        <v>70</v>
      </c>
      <c r="B52" t="s">
        <v>71</v>
      </c>
      <c r="C52" s="4">
        <v>45727</v>
      </c>
      <c r="D52" s="2">
        <v>26550.82</v>
      </c>
      <c r="E52" t="s">
        <v>66</v>
      </c>
      <c r="F52" s="1" t="s">
        <v>8</v>
      </c>
      <c r="G52" s="1">
        <v>231</v>
      </c>
    </row>
    <row r="53" spans="1:7">
      <c r="A53" s="37" t="s">
        <v>46</v>
      </c>
      <c r="B53" t="s">
        <v>72</v>
      </c>
      <c r="C53" s="4">
        <v>45819</v>
      </c>
      <c r="D53" s="2">
        <v>37354.8</v>
      </c>
      <c r="E53" t="s">
        <v>37</v>
      </c>
    </row>
    <row r="54" spans="1:7">
      <c r="A54" s="37" t="s">
        <v>73</v>
      </c>
      <c r="B54" t="s">
        <v>74</v>
      </c>
      <c r="C54" s="4">
        <v>45824</v>
      </c>
      <c r="D54" s="2">
        <v>10000</v>
      </c>
      <c r="E54" t="s">
        <v>15</v>
      </c>
    </row>
    <row r="55" spans="1:7">
      <c r="A55" s="37" t="s">
        <v>75</v>
      </c>
      <c r="B55" t="s">
        <v>76</v>
      </c>
      <c r="C55" s="4">
        <v>45825</v>
      </c>
      <c r="D55" s="2">
        <v>19000</v>
      </c>
      <c r="E55" t="s">
        <v>15</v>
      </c>
    </row>
    <row r="56" spans="1:7">
      <c r="A56" s="37" t="s">
        <v>77</v>
      </c>
      <c r="B56" t="s">
        <v>78</v>
      </c>
      <c r="C56" s="4">
        <v>45826</v>
      </c>
      <c r="D56" s="2">
        <v>4400</v>
      </c>
      <c r="E56" t="s">
        <v>15</v>
      </c>
    </row>
    <row r="57" spans="1:7">
      <c r="A57" s="37" t="s">
        <v>73</v>
      </c>
      <c r="B57" t="s">
        <v>79</v>
      </c>
      <c r="C57" s="4">
        <v>45826</v>
      </c>
      <c r="D57" s="2">
        <v>15000</v>
      </c>
      <c r="E57" t="s">
        <v>15</v>
      </c>
    </row>
    <row r="58" spans="1:7">
      <c r="A58" s="37" t="s">
        <v>40</v>
      </c>
      <c r="B58" t="s">
        <v>80</v>
      </c>
      <c r="C58" s="4">
        <v>45826</v>
      </c>
      <c r="D58" s="2">
        <v>16500</v>
      </c>
      <c r="E58" t="s">
        <v>15</v>
      </c>
    </row>
    <row r="59" spans="1:7">
      <c r="A59" s="37" t="s">
        <v>81</v>
      </c>
      <c r="B59" t="s">
        <v>82</v>
      </c>
      <c r="C59" s="4">
        <v>45831</v>
      </c>
      <c r="D59" s="2">
        <v>500</v>
      </c>
      <c r="E59" t="s">
        <v>66</v>
      </c>
    </row>
    <row r="60" spans="1:7">
      <c r="A60" s="37" t="s">
        <v>81</v>
      </c>
      <c r="B60" t="s">
        <v>83</v>
      </c>
      <c r="C60" s="4">
        <v>45831</v>
      </c>
      <c r="D60" s="2">
        <v>500</v>
      </c>
      <c r="E60" t="s">
        <v>66</v>
      </c>
    </row>
    <row r="61" spans="1:7">
      <c r="A61" s="37" t="s">
        <v>84</v>
      </c>
      <c r="B61" t="s">
        <v>85</v>
      </c>
      <c r="C61" s="4">
        <v>45831</v>
      </c>
      <c r="D61" s="2">
        <v>15000</v>
      </c>
      <c r="E61" t="s">
        <v>66</v>
      </c>
    </row>
    <row r="62" spans="1:7">
      <c r="A62" s="37" t="s">
        <v>84</v>
      </c>
      <c r="B62" t="s">
        <v>86</v>
      </c>
      <c r="C62" s="4">
        <v>45831</v>
      </c>
      <c r="D62" s="2">
        <v>15000</v>
      </c>
      <c r="E62" t="s">
        <v>66</v>
      </c>
    </row>
    <row r="63" spans="1:7">
      <c r="A63" s="37" t="s">
        <v>87</v>
      </c>
      <c r="B63" t="s">
        <v>88</v>
      </c>
      <c r="C63" s="4">
        <v>45831</v>
      </c>
      <c r="D63" s="2">
        <v>43522.72</v>
      </c>
      <c r="E63" t="s">
        <v>66</v>
      </c>
    </row>
    <row r="64" spans="1:7">
      <c r="A64" s="37" t="s">
        <v>89</v>
      </c>
      <c r="B64" t="s">
        <v>90</v>
      </c>
      <c r="C64" s="4">
        <v>45833</v>
      </c>
      <c r="D64" s="2">
        <v>12000</v>
      </c>
      <c r="E64" t="s">
        <v>26</v>
      </c>
    </row>
    <row r="65" spans="1:6">
      <c r="B65" t="s">
        <v>91</v>
      </c>
      <c r="C65" s="4">
        <v>45810</v>
      </c>
      <c r="D65" s="2">
        <v>500000</v>
      </c>
      <c r="E65" t="s">
        <v>92</v>
      </c>
    </row>
    <row r="66" spans="1:6">
      <c r="A66" s="37" t="s">
        <v>93</v>
      </c>
      <c r="B66" t="s">
        <v>94</v>
      </c>
      <c r="C66" s="4">
        <v>45811</v>
      </c>
      <c r="D66" s="2">
        <v>64986.24</v>
      </c>
      <c r="E66" t="s">
        <v>15</v>
      </c>
      <c r="F66" s="1" t="s">
        <v>8</v>
      </c>
    </row>
    <row r="67" spans="1:6">
      <c r="A67" s="37" t="s">
        <v>95</v>
      </c>
      <c r="B67" t="s">
        <v>96</v>
      </c>
      <c r="C67" s="4">
        <v>45810</v>
      </c>
      <c r="D67" s="2">
        <v>12500</v>
      </c>
      <c r="E67" t="s">
        <v>15</v>
      </c>
    </row>
    <row r="68" spans="1:6">
      <c r="A68" s="37" t="s">
        <v>95</v>
      </c>
      <c r="B68" t="s">
        <v>96</v>
      </c>
      <c r="C68" s="4">
        <v>45810</v>
      </c>
      <c r="D68" s="2">
        <v>20000</v>
      </c>
      <c r="E68" t="s">
        <v>15</v>
      </c>
    </row>
    <row r="69" spans="1:6">
      <c r="A69" s="37" t="s">
        <v>43</v>
      </c>
      <c r="B69" t="s">
        <v>44</v>
      </c>
      <c r="C69" s="4">
        <v>45812</v>
      </c>
      <c r="D69" s="2">
        <v>21660</v>
      </c>
      <c r="E69" t="s">
        <v>15</v>
      </c>
    </row>
    <row r="70" spans="1:6">
      <c r="A70" s="37" t="s">
        <v>43</v>
      </c>
      <c r="B70" t="s">
        <v>97</v>
      </c>
      <c r="C70" s="4">
        <v>45812</v>
      </c>
      <c r="D70" s="2">
        <v>44100</v>
      </c>
      <c r="E70" t="s">
        <v>15</v>
      </c>
    </row>
    <row r="71" spans="1:6">
      <c r="A71" s="37" t="s">
        <v>98</v>
      </c>
      <c r="B71" t="s">
        <v>99</v>
      </c>
      <c r="C71" s="4">
        <v>45835</v>
      </c>
      <c r="D71" s="2">
        <v>166132</v>
      </c>
      <c r="E71" t="s">
        <v>15</v>
      </c>
    </row>
    <row r="72" spans="1:6">
      <c r="A72" s="37" t="s">
        <v>43</v>
      </c>
      <c r="B72" t="s">
        <v>100</v>
      </c>
      <c r="C72" s="4">
        <v>45845</v>
      </c>
      <c r="D72" s="2">
        <v>14400</v>
      </c>
      <c r="E72" t="s">
        <v>15</v>
      </c>
    </row>
    <row r="73" spans="1:6">
      <c r="A73" s="37" t="s">
        <v>101</v>
      </c>
      <c r="B73" t="s">
        <v>102</v>
      </c>
      <c r="C73" s="4">
        <v>45846</v>
      </c>
      <c r="D73" s="2">
        <v>79000</v>
      </c>
      <c r="E73" t="s">
        <v>15</v>
      </c>
    </row>
    <row r="74" spans="1:6">
      <c r="A74" s="37" t="s">
        <v>103</v>
      </c>
      <c r="B74" t="s">
        <v>104</v>
      </c>
      <c r="C74" s="4">
        <v>45846</v>
      </c>
      <c r="D74" s="2">
        <v>1872</v>
      </c>
      <c r="E74" t="s">
        <v>15</v>
      </c>
    </row>
    <row r="75" spans="1:6">
      <c r="A75" s="37" t="s">
        <v>75</v>
      </c>
      <c r="B75" t="s">
        <v>105</v>
      </c>
      <c r="C75" s="4">
        <v>45846</v>
      </c>
      <c r="D75" s="2">
        <v>11000</v>
      </c>
      <c r="E75" t="s">
        <v>15</v>
      </c>
    </row>
    <row r="76" spans="1:6">
      <c r="A76" s="37" t="s">
        <v>103</v>
      </c>
      <c r="B76" t="s">
        <v>104</v>
      </c>
      <c r="C76" s="4">
        <v>45846</v>
      </c>
      <c r="D76" s="2">
        <v>13500</v>
      </c>
      <c r="E76" t="s">
        <v>15</v>
      </c>
    </row>
    <row r="77" spans="1:6">
      <c r="A77" s="37" t="s">
        <v>56</v>
      </c>
      <c r="B77" t="s">
        <v>106</v>
      </c>
      <c r="C77" s="4">
        <v>45846</v>
      </c>
      <c r="D77" s="2">
        <v>25340.42</v>
      </c>
      <c r="E77" t="s">
        <v>15</v>
      </c>
    </row>
    <row r="78" spans="1:6">
      <c r="A78" s="37" t="s">
        <v>107</v>
      </c>
      <c r="B78" t="s">
        <v>108</v>
      </c>
      <c r="C78" s="4">
        <v>45846</v>
      </c>
      <c r="D78" s="2">
        <v>32440</v>
      </c>
      <c r="E78" t="s">
        <v>15</v>
      </c>
    </row>
    <row r="79" spans="1:6">
      <c r="A79" s="37" t="s">
        <v>46</v>
      </c>
      <c r="B79" t="s">
        <v>72</v>
      </c>
      <c r="C79" s="4">
        <v>45846</v>
      </c>
      <c r="D79" s="2">
        <v>40713.2</v>
      </c>
      <c r="E79" t="s">
        <v>15</v>
      </c>
    </row>
    <row r="80" spans="1:6">
      <c r="A80" s="37" t="s">
        <v>98</v>
      </c>
      <c r="B80" t="s">
        <v>99</v>
      </c>
      <c r="C80" s="4">
        <v>45848</v>
      </c>
      <c r="D80" s="2">
        <v>125267</v>
      </c>
      <c r="E80" t="s">
        <v>15</v>
      </c>
    </row>
    <row r="81" spans="1:5">
      <c r="A81" s="37" t="s">
        <v>109</v>
      </c>
      <c r="B81" t="s">
        <v>110</v>
      </c>
      <c r="C81" s="4">
        <v>45848</v>
      </c>
      <c r="D81" s="2">
        <v>100000</v>
      </c>
      <c r="E81" t="s">
        <v>111</v>
      </c>
    </row>
    <row r="82" spans="1:5">
      <c r="A82" s="37" t="s">
        <v>112</v>
      </c>
      <c r="B82" t="s">
        <v>113</v>
      </c>
      <c r="C82" s="4">
        <v>45848</v>
      </c>
      <c r="D82" s="2">
        <v>73600</v>
      </c>
      <c r="E82" t="s">
        <v>21</v>
      </c>
    </row>
    <row r="83" spans="1:5">
      <c r="A83" s="37" t="s">
        <v>95</v>
      </c>
      <c r="B83" t="s">
        <v>114</v>
      </c>
      <c r="C83" s="4">
        <v>45848</v>
      </c>
      <c r="D83" s="2">
        <v>30000</v>
      </c>
      <c r="E83" t="s">
        <v>15</v>
      </c>
    </row>
    <row r="84" spans="1:5">
      <c r="A84" s="37" t="s">
        <v>115</v>
      </c>
      <c r="B84" t="s">
        <v>116</v>
      </c>
      <c r="C84" s="4">
        <v>45854</v>
      </c>
      <c r="D84" s="2">
        <v>26049</v>
      </c>
      <c r="E84" t="s">
        <v>15</v>
      </c>
    </row>
    <row r="85" spans="1:5">
      <c r="A85" s="37" t="s">
        <v>89</v>
      </c>
      <c r="B85" t="s">
        <v>90</v>
      </c>
      <c r="C85" s="4">
        <v>45859</v>
      </c>
      <c r="D85" s="2">
        <v>12000</v>
      </c>
      <c r="E85" t="s">
        <v>26</v>
      </c>
    </row>
    <row r="86" spans="1:5">
      <c r="A86" s="37" t="s">
        <v>117</v>
      </c>
      <c r="B86" t="s">
        <v>118</v>
      </c>
      <c r="C86" s="4">
        <v>45859</v>
      </c>
      <c r="D86" s="2">
        <v>18040</v>
      </c>
      <c r="E86" t="s">
        <v>42</v>
      </c>
    </row>
    <row r="87" spans="1:5">
      <c r="A87" s="37" t="s">
        <v>95</v>
      </c>
      <c r="B87" t="s">
        <v>96</v>
      </c>
      <c r="C87" s="4">
        <v>45859</v>
      </c>
      <c r="D87" s="2">
        <v>20000</v>
      </c>
      <c r="E87" t="s">
        <v>15</v>
      </c>
    </row>
    <row r="88" spans="1:5">
      <c r="A88" s="37" t="s">
        <v>119</v>
      </c>
      <c r="B88" t="s">
        <v>120</v>
      </c>
      <c r="C88" s="4">
        <v>45862</v>
      </c>
      <c r="D88" s="2">
        <v>426800</v>
      </c>
      <c r="E88" t="s">
        <v>121</v>
      </c>
    </row>
    <row r="89" spans="1:5">
      <c r="A89" s="37" t="s">
        <v>122</v>
      </c>
      <c r="B89" t="s">
        <v>123</v>
      </c>
      <c r="C89" s="4">
        <v>45863</v>
      </c>
      <c r="D89" s="2">
        <v>22100</v>
      </c>
      <c r="E89" t="s">
        <v>15</v>
      </c>
    </row>
    <row r="90" spans="1:5">
      <c r="A90" s="37" t="s">
        <v>124</v>
      </c>
      <c r="B90" t="s">
        <v>125</v>
      </c>
      <c r="C90" s="4">
        <v>45862</v>
      </c>
      <c r="D90" s="2">
        <v>29695</v>
      </c>
      <c r="E90" t="s">
        <v>15</v>
      </c>
    </row>
    <row r="91" spans="1:5">
      <c r="A91" s="37" t="s">
        <v>126</v>
      </c>
      <c r="B91" t="s">
        <v>7</v>
      </c>
      <c r="C91" s="4">
        <v>45863</v>
      </c>
      <c r="D91" s="2">
        <v>500000</v>
      </c>
      <c r="E91" t="s">
        <v>15</v>
      </c>
    </row>
    <row r="92" spans="1:5">
      <c r="A92" s="37" t="s">
        <v>127</v>
      </c>
      <c r="B92" t="s">
        <v>128</v>
      </c>
      <c r="C92" s="4">
        <v>45866</v>
      </c>
      <c r="D92" s="2">
        <v>2500</v>
      </c>
      <c r="E92" t="s">
        <v>129</v>
      </c>
    </row>
    <row r="93" spans="1:5">
      <c r="A93" s="37" t="s">
        <v>73</v>
      </c>
      <c r="B93" t="s">
        <v>130</v>
      </c>
      <c r="C93" s="4">
        <v>45873</v>
      </c>
      <c r="D93" s="2">
        <v>8550</v>
      </c>
      <c r="E93" t="s">
        <v>15</v>
      </c>
    </row>
    <row r="94" spans="1:5">
      <c r="A94" s="37" t="s">
        <v>73</v>
      </c>
      <c r="B94" t="s">
        <v>130</v>
      </c>
      <c r="C94" s="4">
        <v>45873</v>
      </c>
      <c r="D94" s="2">
        <v>12000</v>
      </c>
      <c r="E94" t="s">
        <v>15</v>
      </c>
    </row>
    <row r="95" spans="1:5">
      <c r="A95" s="37" t="s">
        <v>56</v>
      </c>
      <c r="B95" t="s">
        <v>131</v>
      </c>
      <c r="C95" s="4">
        <v>45873</v>
      </c>
      <c r="D95" s="2">
        <v>13082.96</v>
      </c>
      <c r="E95" t="s">
        <v>15</v>
      </c>
    </row>
    <row r="96" spans="1:5">
      <c r="A96" s="37" t="s">
        <v>119</v>
      </c>
      <c r="B96" t="s">
        <v>132</v>
      </c>
      <c r="C96" s="4">
        <v>45875</v>
      </c>
      <c r="D96" s="2">
        <v>1218700</v>
      </c>
      <c r="E96" t="s">
        <v>121</v>
      </c>
    </row>
    <row r="97" spans="1:5">
      <c r="A97" s="37" t="s">
        <v>133</v>
      </c>
      <c r="B97" t="s">
        <v>134</v>
      </c>
      <c r="C97" s="4">
        <v>45876</v>
      </c>
      <c r="D97" s="2">
        <v>2250</v>
      </c>
      <c r="E97" t="s">
        <v>15</v>
      </c>
    </row>
    <row r="98" spans="1:5">
      <c r="A98" s="37" t="s">
        <v>133</v>
      </c>
      <c r="B98" t="s">
        <v>135</v>
      </c>
      <c r="C98" s="4">
        <v>45876</v>
      </c>
      <c r="D98" s="2">
        <v>2790</v>
      </c>
      <c r="E98" t="s">
        <v>15</v>
      </c>
    </row>
    <row r="99" spans="1:5">
      <c r="A99" s="37" t="s">
        <v>133</v>
      </c>
      <c r="B99" t="s">
        <v>136</v>
      </c>
      <c r="C99" s="4">
        <v>45876</v>
      </c>
      <c r="D99" s="2">
        <v>2970</v>
      </c>
      <c r="E99" t="s">
        <v>15</v>
      </c>
    </row>
    <row r="100" spans="1:5">
      <c r="A100" s="37" t="s">
        <v>137</v>
      </c>
      <c r="B100" t="s">
        <v>138</v>
      </c>
      <c r="C100" s="4">
        <v>45877</v>
      </c>
      <c r="D100" s="2">
        <v>450</v>
      </c>
      <c r="E100" t="s">
        <v>15</v>
      </c>
    </row>
    <row r="101" spans="1:5">
      <c r="A101" s="37" t="s">
        <v>137</v>
      </c>
      <c r="B101" t="s">
        <v>138</v>
      </c>
      <c r="C101" s="4">
        <v>45877</v>
      </c>
      <c r="D101" s="2">
        <v>11300</v>
      </c>
      <c r="E101" t="s">
        <v>15</v>
      </c>
    </row>
    <row r="102" spans="1:5">
      <c r="A102" s="37" t="s">
        <v>112</v>
      </c>
      <c r="B102" t="s">
        <v>139</v>
      </c>
      <c r="C102" s="4">
        <v>45881</v>
      </c>
      <c r="D102" s="2">
        <v>52900</v>
      </c>
      <c r="E102" t="s">
        <v>15</v>
      </c>
    </row>
    <row r="103" spans="1:5">
      <c r="A103" s="37" t="s">
        <v>112</v>
      </c>
      <c r="B103" t="s">
        <v>139</v>
      </c>
      <c r="C103" s="4">
        <v>45881</v>
      </c>
      <c r="D103" s="2">
        <v>52900</v>
      </c>
      <c r="E103" t="s">
        <v>15</v>
      </c>
    </row>
    <row r="104" spans="1:5">
      <c r="A104" s="37" t="s">
        <v>112</v>
      </c>
      <c r="B104" t="s">
        <v>139</v>
      </c>
      <c r="C104" s="4">
        <v>45881</v>
      </c>
      <c r="D104" s="2">
        <v>78200</v>
      </c>
      <c r="E104" t="s">
        <v>15</v>
      </c>
    </row>
    <row r="105" spans="1:5">
      <c r="A105" s="37" t="s">
        <v>140</v>
      </c>
      <c r="B105" t="s">
        <v>141</v>
      </c>
      <c r="C105" s="4">
        <v>45881</v>
      </c>
      <c r="D105" s="2">
        <v>270500</v>
      </c>
      <c r="E105" t="s">
        <v>142</v>
      </c>
    </row>
    <row r="106" spans="1:5">
      <c r="A106" s="37" t="s">
        <v>95</v>
      </c>
      <c r="B106" t="s">
        <v>143</v>
      </c>
      <c r="C106" s="4">
        <v>45882</v>
      </c>
      <c r="D106" s="2">
        <v>120000</v>
      </c>
      <c r="E106" t="s">
        <v>15</v>
      </c>
    </row>
    <row r="107" spans="1:5">
      <c r="A107" s="37" t="s">
        <v>109</v>
      </c>
      <c r="B107" t="s">
        <v>144</v>
      </c>
      <c r="C107" s="4">
        <v>45882</v>
      </c>
      <c r="D107" s="2">
        <v>200000</v>
      </c>
      <c r="E107" t="s">
        <v>111</v>
      </c>
    </row>
    <row r="108" spans="1:5">
      <c r="B108" t="s">
        <v>145</v>
      </c>
      <c r="C108" s="4">
        <v>45888</v>
      </c>
      <c r="D108" s="2">
        <v>500000</v>
      </c>
      <c r="E108" t="s">
        <v>92</v>
      </c>
    </row>
    <row r="109" spans="1:5">
      <c r="A109" s="37" t="s">
        <v>46</v>
      </c>
      <c r="B109" t="s">
        <v>146</v>
      </c>
      <c r="C109" s="4">
        <v>45889</v>
      </c>
      <c r="D109" s="2">
        <v>29446</v>
      </c>
      <c r="E109" t="s">
        <v>15</v>
      </c>
    </row>
    <row r="110" spans="1:5">
      <c r="A110" s="37" t="s">
        <v>133</v>
      </c>
      <c r="B110" t="s">
        <v>147</v>
      </c>
      <c r="C110" s="4">
        <v>45890</v>
      </c>
      <c r="D110" s="2">
        <v>7020</v>
      </c>
      <c r="E110" t="s">
        <v>15</v>
      </c>
    </row>
    <row r="111" spans="1:5">
      <c r="A111" s="37" t="s">
        <v>50</v>
      </c>
      <c r="B111" t="s">
        <v>148</v>
      </c>
      <c r="C111" s="4">
        <v>45889</v>
      </c>
      <c r="D111" s="2">
        <v>2688</v>
      </c>
      <c r="E111" t="s">
        <v>149</v>
      </c>
    </row>
    <row r="112" spans="1:5">
      <c r="A112" s="37" t="s">
        <v>119</v>
      </c>
      <c r="B112" t="s">
        <v>150</v>
      </c>
      <c r="C112" s="4">
        <v>45889</v>
      </c>
      <c r="D112" s="2">
        <v>1052400</v>
      </c>
      <c r="E112" t="s">
        <v>121</v>
      </c>
    </row>
    <row r="113" spans="1:5">
      <c r="A113" s="37" t="s">
        <v>73</v>
      </c>
      <c r="B113" t="s">
        <v>151</v>
      </c>
      <c r="C113" s="4">
        <v>45889</v>
      </c>
      <c r="D113" s="2">
        <v>16250</v>
      </c>
      <c r="E113" t="s">
        <v>15</v>
      </c>
    </row>
    <row r="114" spans="1:5">
      <c r="A114" s="37" t="s">
        <v>152</v>
      </c>
      <c r="B114" t="s">
        <v>153</v>
      </c>
      <c r="C114" s="4">
        <v>45889</v>
      </c>
      <c r="D114" s="2">
        <v>1500</v>
      </c>
      <c r="E114" t="s">
        <v>15</v>
      </c>
    </row>
    <row r="115" spans="1:5">
      <c r="A115" s="37" t="s">
        <v>152</v>
      </c>
      <c r="B115" t="s">
        <v>153</v>
      </c>
      <c r="C115" s="4">
        <v>45889</v>
      </c>
      <c r="D115" s="2">
        <v>1500</v>
      </c>
      <c r="E115" t="s">
        <v>15</v>
      </c>
    </row>
    <row r="116" spans="1:5">
      <c r="A116" s="37" t="s">
        <v>152</v>
      </c>
      <c r="B116" t="s">
        <v>153</v>
      </c>
      <c r="C116" s="4">
        <v>45889</v>
      </c>
      <c r="D116" s="2">
        <v>1800</v>
      </c>
      <c r="E116" t="s">
        <v>15</v>
      </c>
    </row>
    <row r="117" spans="1:5">
      <c r="A117" s="37" t="s">
        <v>152</v>
      </c>
      <c r="B117" t="s">
        <v>153</v>
      </c>
      <c r="C117" s="4">
        <v>45889</v>
      </c>
      <c r="D117" s="2">
        <v>2700</v>
      </c>
      <c r="E117" t="s">
        <v>15</v>
      </c>
    </row>
    <row r="118" spans="1:5">
      <c r="A118" s="37" t="s">
        <v>152</v>
      </c>
      <c r="B118" t="s">
        <v>153</v>
      </c>
      <c r="C118" s="4">
        <v>45889</v>
      </c>
      <c r="D118" s="2">
        <v>4000</v>
      </c>
      <c r="E118" t="s">
        <v>15</v>
      </c>
    </row>
    <row r="119" spans="1:5">
      <c r="A119" s="37" t="s">
        <v>50</v>
      </c>
      <c r="B119" t="s">
        <v>154</v>
      </c>
      <c r="C119" s="4">
        <v>45890</v>
      </c>
      <c r="D119" s="2">
        <v>3053</v>
      </c>
      <c r="E119" t="s">
        <v>149</v>
      </c>
    </row>
    <row r="120" spans="1:5">
      <c r="A120" s="37" t="s">
        <v>155</v>
      </c>
      <c r="B120" t="s">
        <v>156</v>
      </c>
      <c r="C120" s="4">
        <v>45891</v>
      </c>
      <c r="D120" s="2">
        <v>39960</v>
      </c>
      <c r="E120" t="s">
        <v>15</v>
      </c>
    </row>
    <row r="121" spans="1:5">
      <c r="A121" s="37" t="s">
        <v>119</v>
      </c>
      <c r="B121" t="s">
        <v>157</v>
      </c>
      <c r="C121" s="4">
        <v>45903</v>
      </c>
      <c r="D121" s="2">
        <v>1147200</v>
      </c>
      <c r="E121" t="s">
        <v>121</v>
      </c>
    </row>
    <row r="122" spans="1:5">
      <c r="A122" s="37" t="s">
        <v>89</v>
      </c>
      <c r="B122" t="s">
        <v>158</v>
      </c>
      <c r="C122" s="4">
        <v>45903</v>
      </c>
      <c r="D122" s="2">
        <v>12000</v>
      </c>
      <c r="E122" t="s">
        <v>15</v>
      </c>
    </row>
    <row r="123" spans="1:5">
      <c r="A123" s="37" t="s">
        <v>95</v>
      </c>
      <c r="B123" t="s">
        <v>143</v>
      </c>
      <c r="C123" s="4">
        <v>45911</v>
      </c>
      <c r="D123" s="2">
        <v>70000</v>
      </c>
      <c r="E123" t="s">
        <v>15</v>
      </c>
    </row>
    <row r="124" spans="1:5">
      <c r="A124" s="37" t="s">
        <v>95</v>
      </c>
      <c r="B124" t="s">
        <v>159</v>
      </c>
      <c r="C124" s="4">
        <v>45915</v>
      </c>
      <c r="D124" s="2">
        <v>60000</v>
      </c>
      <c r="E124" t="s">
        <v>15</v>
      </c>
    </row>
    <row r="125" spans="1:5">
      <c r="A125" s="37" t="s">
        <v>40</v>
      </c>
      <c r="B125" t="s">
        <v>160</v>
      </c>
      <c r="C125" s="4">
        <v>45916</v>
      </c>
      <c r="D125" s="2">
        <v>24750</v>
      </c>
      <c r="E125" t="s">
        <v>15</v>
      </c>
    </row>
    <row r="126" spans="1:5">
      <c r="A126" s="37" t="s">
        <v>161</v>
      </c>
      <c r="B126" t="s">
        <v>162</v>
      </c>
      <c r="C126" s="4">
        <v>45919</v>
      </c>
      <c r="D126" s="2">
        <v>5000</v>
      </c>
      <c r="E126" t="s">
        <v>15</v>
      </c>
    </row>
    <row r="127" spans="1:5">
      <c r="A127" s="37" t="s">
        <v>163</v>
      </c>
      <c r="B127" t="s">
        <v>164</v>
      </c>
      <c r="C127" s="4">
        <v>45922</v>
      </c>
      <c r="D127" s="2">
        <v>73000</v>
      </c>
      <c r="E127" t="s">
        <v>15</v>
      </c>
    </row>
    <row r="128" spans="1:5">
      <c r="A128" s="37" t="s">
        <v>163</v>
      </c>
      <c r="C128" s="4">
        <v>45922</v>
      </c>
      <c r="D128" s="2">
        <v>73000</v>
      </c>
      <c r="E128" t="s">
        <v>15</v>
      </c>
    </row>
    <row r="129" spans="1:5">
      <c r="A129" s="37" t="s">
        <v>163</v>
      </c>
      <c r="C129" s="4">
        <v>45922</v>
      </c>
      <c r="D129" s="2">
        <v>93000</v>
      </c>
      <c r="E129" t="s">
        <v>15</v>
      </c>
    </row>
    <row r="130" spans="1:5">
      <c r="A130" s="37" t="s">
        <v>163</v>
      </c>
      <c r="B130" t="s">
        <v>165</v>
      </c>
      <c r="C130" s="4">
        <v>45922</v>
      </c>
      <c r="D130" s="2">
        <v>164000</v>
      </c>
      <c r="E130" t="s">
        <v>15</v>
      </c>
    </row>
    <row r="131" spans="1:5">
      <c r="A131" s="37" t="s">
        <v>166</v>
      </c>
      <c r="B131" t="s">
        <v>167</v>
      </c>
      <c r="C131" s="4">
        <v>45923</v>
      </c>
      <c r="D131" s="2">
        <v>5600</v>
      </c>
      <c r="E131" t="s">
        <v>15</v>
      </c>
    </row>
    <row r="132" spans="1:5">
      <c r="A132" s="37" t="s">
        <v>95</v>
      </c>
      <c r="B132" t="s">
        <v>168</v>
      </c>
      <c r="C132" s="4">
        <v>45926</v>
      </c>
      <c r="D132" s="2">
        <v>70000</v>
      </c>
      <c r="E132" t="s">
        <v>15</v>
      </c>
    </row>
    <row r="133" spans="1:5">
      <c r="A133" s="37" t="s">
        <v>169</v>
      </c>
      <c r="B133" t="s">
        <v>170</v>
      </c>
      <c r="C133" s="4">
        <v>45929</v>
      </c>
      <c r="D133" s="2">
        <v>110000</v>
      </c>
      <c r="E133" t="s">
        <v>171</v>
      </c>
    </row>
    <row r="134" spans="1:5">
      <c r="A134" s="37" t="s">
        <v>56</v>
      </c>
      <c r="B134" t="s">
        <v>106</v>
      </c>
      <c r="C134" s="4">
        <v>45929</v>
      </c>
      <c r="D134" s="2">
        <v>65008.94</v>
      </c>
      <c r="E134" t="s">
        <v>66</v>
      </c>
    </row>
    <row r="135" spans="1:5">
      <c r="A135" s="37" t="s">
        <v>122</v>
      </c>
      <c r="B135" t="s">
        <v>172</v>
      </c>
      <c r="C135" s="4">
        <v>45930</v>
      </c>
      <c r="D135" s="2">
        <v>5850</v>
      </c>
      <c r="E135" t="s">
        <v>15</v>
      </c>
    </row>
    <row r="136" spans="1:5">
      <c r="A136" s="37" t="s">
        <v>122</v>
      </c>
      <c r="C136" s="4">
        <v>45930</v>
      </c>
      <c r="D136" s="2">
        <v>7150</v>
      </c>
      <c r="E136" t="s">
        <v>15</v>
      </c>
    </row>
    <row r="137" spans="1:5">
      <c r="A137" s="37" t="s">
        <v>109</v>
      </c>
      <c r="B137" t="s">
        <v>110</v>
      </c>
      <c r="C137" s="4">
        <v>45931</v>
      </c>
      <c r="D137" s="2">
        <v>200000</v>
      </c>
      <c r="E137" t="s">
        <v>111</v>
      </c>
    </row>
    <row r="138" spans="1:5">
      <c r="A138" s="37" t="s">
        <v>173</v>
      </c>
      <c r="B138" t="s">
        <v>174</v>
      </c>
      <c r="C138" s="4">
        <v>45931</v>
      </c>
      <c r="D138" s="2">
        <v>6900</v>
      </c>
      <c r="E138" t="s">
        <v>15</v>
      </c>
    </row>
    <row r="139" spans="1:5">
      <c r="A139" s="37" t="s">
        <v>175</v>
      </c>
      <c r="B139" t="s">
        <v>176</v>
      </c>
      <c r="C139" s="4">
        <v>45937</v>
      </c>
      <c r="D139" s="2">
        <v>1490</v>
      </c>
      <c r="E139" t="s">
        <v>15</v>
      </c>
    </row>
    <row r="140" spans="1:5">
      <c r="A140" s="37" t="s">
        <v>46</v>
      </c>
      <c r="B140" t="s">
        <v>177</v>
      </c>
      <c r="C140" s="4">
        <v>45937</v>
      </c>
      <c r="D140" s="2">
        <v>38856</v>
      </c>
      <c r="E140" t="s">
        <v>15</v>
      </c>
    </row>
    <row r="141" spans="1:5">
      <c r="A141" s="37" t="s">
        <v>178</v>
      </c>
      <c r="C141" s="4">
        <v>45939</v>
      </c>
      <c r="D141" s="2">
        <v>2000</v>
      </c>
      <c r="E141" t="s">
        <v>15</v>
      </c>
    </row>
    <row r="142" spans="1:5">
      <c r="A142" s="37" t="s">
        <v>179</v>
      </c>
      <c r="B142" t="s">
        <v>180</v>
      </c>
      <c r="C142" s="4">
        <v>45940</v>
      </c>
      <c r="D142" s="2">
        <v>422989</v>
      </c>
      <c r="E142" t="s">
        <v>121</v>
      </c>
    </row>
    <row r="143" spans="1:5">
      <c r="A143" s="37" t="s">
        <v>179</v>
      </c>
      <c r="C143" s="4">
        <v>45940</v>
      </c>
      <c r="D143" s="2">
        <v>648990</v>
      </c>
      <c r="E143" t="s">
        <v>121</v>
      </c>
    </row>
    <row r="144" spans="1:5">
      <c r="A144" s="37" t="s">
        <v>179</v>
      </c>
      <c r="C144" s="4">
        <v>45940</v>
      </c>
      <c r="D144" s="2">
        <v>712340</v>
      </c>
      <c r="E144" t="s">
        <v>121</v>
      </c>
    </row>
    <row r="145" spans="1:5">
      <c r="A145" s="37" t="s">
        <v>179</v>
      </c>
      <c r="C145" s="4">
        <v>45940</v>
      </c>
      <c r="D145" s="2">
        <v>121089</v>
      </c>
      <c r="E145" t="s">
        <v>121</v>
      </c>
    </row>
    <row r="146" spans="1:5">
      <c r="A146" s="37" t="s">
        <v>179</v>
      </c>
      <c r="C146" s="4">
        <v>45940</v>
      </c>
      <c r="D146" s="2">
        <v>996886</v>
      </c>
      <c r="E146" t="s">
        <v>121</v>
      </c>
    </row>
    <row r="147" spans="1:5">
      <c r="A147" s="37" t="s">
        <v>181</v>
      </c>
      <c r="B147" t="s">
        <v>182</v>
      </c>
      <c r="C147" s="4">
        <v>45943</v>
      </c>
      <c r="D147" s="2">
        <v>50000</v>
      </c>
      <c r="E147" t="s">
        <v>171</v>
      </c>
    </row>
    <row r="148" spans="1:5">
      <c r="A148" s="37" t="s">
        <v>89</v>
      </c>
      <c r="B148" t="s">
        <v>158</v>
      </c>
      <c r="C148" s="4">
        <v>45943</v>
      </c>
      <c r="D148" s="2">
        <v>12000</v>
      </c>
      <c r="E148" t="s">
        <v>15</v>
      </c>
    </row>
    <row r="149" spans="1:5">
      <c r="A149" s="37" t="s">
        <v>166</v>
      </c>
      <c r="B149" t="s">
        <v>183</v>
      </c>
      <c r="C149" s="4">
        <v>45943</v>
      </c>
      <c r="D149" s="2">
        <v>14400</v>
      </c>
      <c r="E149" t="s">
        <v>15</v>
      </c>
    </row>
    <row r="150" spans="1:5">
      <c r="A150" s="37" t="s">
        <v>137</v>
      </c>
      <c r="B150" t="s">
        <v>184</v>
      </c>
      <c r="C150" s="4">
        <v>45943</v>
      </c>
      <c r="D150" s="2">
        <v>400</v>
      </c>
      <c r="E150" t="s">
        <v>15</v>
      </c>
    </row>
    <row r="151" spans="1:5">
      <c r="A151" s="37" t="s">
        <v>137</v>
      </c>
      <c r="B151" t="s">
        <v>184</v>
      </c>
      <c r="C151" s="4">
        <v>45943</v>
      </c>
      <c r="D151" s="2">
        <v>3850</v>
      </c>
      <c r="E151" t="s">
        <v>15</v>
      </c>
    </row>
    <row r="152" spans="1:5">
      <c r="A152" s="37" t="s">
        <v>185</v>
      </c>
      <c r="B152" t="s">
        <v>186</v>
      </c>
      <c r="C152" s="4">
        <v>45944</v>
      </c>
      <c r="D152" s="2">
        <v>61709.49</v>
      </c>
      <c r="E152" t="s">
        <v>66</v>
      </c>
    </row>
    <row r="153" spans="1:5">
      <c r="A153" s="37" t="s">
        <v>133</v>
      </c>
      <c r="B153" t="s">
        <v>187</v>
      </c>
      <c r="C153" s="4">
        <v>45944</v>
      </c>
      <c r="D153" s="2">
        <v>6930</v>
      </c>
      <c r="E153" t="s">
        <v>66</v>
      </c>
    </row>
    <row r="154" spans="1:5">
      <c r="A154" s="37" t="s">
        <v>161</v>
      </c>
      <c r="B154" t="s">
        <v>188</v>
      </c>
      <c r="C154" s="4">
        <v>45945</v>
      </c>
      <c r="D154" s="2">
        <v>50000</v>
      </c>
      <c r="E154" t="s">
        <v>66</v>
      </c>
    </row>
    <row r="155" spans="1:5">
      <c r="A155" s="37" t="s">
        <v>61</v>
      </c>
      <c r="B155" t="s">
        <v>189</v>
      </c>
      <c r="C155" s="4">
        <v>45950</v>
      </c>
      <c r="D155" s="2">
        <v>5000</v>
      </c>
      <c r="E155" t="s">
        <v>15</v>
      </c>
    </row>
    <row r="156" spans="1:5">
      <c r="A156" s="37" t="s">
        <v>61</v>
      </c>
      <c r="C156" s="4">
        <v>45950</v>
      </c>
      <c r="D156" s="2">
        <v>14000</v>
      </c>
      <c r="E156" t="s">
        <v>15</v>
      </c>
    </row>
    <row r="157" spans="1:5">
      <c r="A157" s="37" t="s">
        <v>61</v>
      </c>
      <c r="C157" s="4">
        <v>45950</v>
      </c>
      <c r="D157" s="2">
        <v>19280</v>
      </c>
      <c r="E157" t="s">
        <v>15</v>
      </c>
    </row>
    <row r="158" spans="1:5">
      <c r="A158" s="37" t="s">
        <v>40</v>
      </c>
      <c r="B158" t="s">
        <v>190</v>
      </c>
      <c r="C158" s="4">
        <v>45950</v>
      </c>
      <c r="D158" s="2">
        <v>7700</v>
      </c>
      <c r="E158" t="s">
        <v>15</v>
      </c>
    </row>
    <row r="159" spans="1:5">
      <c r="A159" s="37" t="s">
        <v>56</v>
      </c>
      <c r="B159" t="s">
        <v>191</v>
      </c>
      <c r="C159" s="4">
        <v>45950</v>
      </c>
      <c r="D159" s="2">
        <v>5300</v>
      </c>
      <c r="E159" t="s">
        <v>66</v>
      </c>
    </row>
    <row r="160" spans="1:5">
      <c r="A160" s="37" t="s">
        <v>192</v>
      </c>
      <c r="B160" t="s">
        <v>193</v>
      </c>
      <c r="C160" s="4">
        <v>45951</v>
      </c>
      <c r="D160" s="2">
        <v>10000</v>
      </c>
      <c r="E160" t="s">
        <v>15</v>
      </c>
    </row>
    <row r="161" spans="1:5">
      <c r="A161" s="37" t="s">
        <v>50</v>
      </c>
      <c r="B161" t="s">
        <v>194</v>
      </c>
      <c r="C161" s="4">
        <v>45952</v>
      </c>
      <c r="D161" s="2">
        <v>2693</v>
      </c>
      <c r="E161" t="s">
        <v>149</v>
      </c>
    </row>
    <row r="162" spans="1:5">
      <c r="A162" s="37" t="s">
        <v>195</v>
      </c>
      <c r="B162" t="s">
        <v>196</v>
      </c>
      <c r="C162" s="4">
        <v>45952</v>
      </c>
      <c r="D162" s="2">
        <v>4800</v>
      </c>
      <c r="E162" t="s">
        <v>66</v>
      </c>
    </row>
    <row r="163" spans="1:5">
      <c r="A163" s="37" t="s">
        <v>38</v>
      </c>
      <c r="B163" t="s">
        <v>197</v>
      </c>
      <c r="C163" s="4">
        <v>45952</v>
      </c>
      <c r="D163" s="2">
        <v>14580</v>
      </c>
      <c r="E163" t="s">
        <v>15</v>
      </c>
    </row>
    <row r="164" spans="1:5">
      <c r="A164" s="37" t="s">
        <v>198</v>
      </c>
      <c r="B164" t="s">
        <v>199</v>
      </c>
      <c r="C164" s="4">
        <v>45952</v>
      </c>
      <c r="D164" s="2">
        <v>30000</v>
      </c>
      <c r="E164" t="s">
        <v>66</v>
      </c>
    </row>
    <row r="165" spans="1:5">
      <c r="A165" s="37" t="s">
        <v>124</v>
      </c>
      <c r="B165" t="s">
        <v>200</v>
      </c>
      <c r="C165" s="4">
        <v>45952</v>
      </c>
      <c r="D165" s="2">
        <v>41769</v>
      </c>
      <c r="E165" t="s">
        <v>66</v>
      </c>
    </row>
    <row r="166" spans="1:5">
      <c r="A166" s="37" t="s">
        <v>201</v>
      </c>
      <c r="B166" t="s">
        <v>202</v>
      </c>
      <c r="C166" s="4">
        <v>45952</v>
      </c>
      <c r="D166" s="2">
        <v>90000</v>
      </c>
      <c r="E166" t="s">
        <v>66</v>
      </c>
    </row>
    <row r="167" spans="1:5">
      <c r="A167" s="37" t="s">
        <v>152</v>
      </c>
      <c r="B167" t="s">
        <v>203</v>
      </c>
      <c r="C167" s="4">
        <v>45951</v>
      </c>
      <c r="D167" s="2">
        <v>800</v>
      </c>
      <c r="E167" t="s">
        <v>15</v>
      </c>
    </row>
    <row r="168" spans="1:5">
      <c r="A168" s="37" t="s">
        <v>152</v>
      </c>
      <c r="B168" t="s">
        <v>203</v>
      </c>
      <c r="C168" s="4">
        <v>45951</v>
      </c>
      <c r="D168" s="2">
        <v>1500</v>
      </c>
      <c r="E168" t="s">
        <v>15</v>
      </c>
    </row>
    <row r="169" spans="1:5">
      <c r="A169" s="37" t="s">
        <v>127</v>
      </c>
      <c r="B169" t="s">
        <v>204</v>
      </c>
      <c r="C169" s="4">
        <v>45959</v>
      </c>
      <c r="D169" s="2">
        <v>5366</v>
      </c>
      <c r="E169" t="s">
        <v>66</v>
      </c>
    </row>
    <row r="170" spans="1:5">
      <c r="A170" s="37" t="s">
        <v>205</v>
      </c>
      <c r="B170" t="s">
        <v>206</v>
      </c>
      <c r="C170" s="4">
        <v>45966</v>
      </c>
      <c r="D170" s="2">
        <v>8760</v>
      </c>
      <c r="E170" t="s">
        <v>66</v>
      </c>
    </row>
    <row r="171" spans="1:5">
      <c r="A171" s="37" t="s">
        <v>109</v>
      </c>
      <c r="B171" t="s">
        <v>144</v>
      </c>
      <c r="C171" s="4">
        <v>45973</v>
      </c>
      <c r="D171" s="2">
        <v>200000</v>
      </c>
      <c r="E171" t="s">
        <v>111</v>
      </c>
    </row>
    <row r="172" spans="1:5">
      <c r="A172" s="37" t="s">
        <v>122</v>
      </c>
      <c r="B172" t="s">
        <v>207</v>
      </c>
      <c r="C172" s="4">
        <v>45973</v>
      </c>
      <c r="D172" s="2">
        <v>1300</v>
      </c>
      <c r="E172" t="s">
        <v>15</v>
      </c>
    </row>
    <row r="173" spans="1:5">
      <c r="A173" s="37" t="s">
        <v>122</v>
      </c>
      <c r="C173" s="4">
        <v>45973</v>
      </c>
      <c r="D173" s="2">
        <v>73392</v>
      </c>
      <c r="E173" t="s">
        <v>15</v>
      </c>
    </row>
    <row r="174" spans="1:5">
      <c r="A174" s="37" t="s">
        <v>46</v>
      </c>
      <c r="B174" t="s">
        <v>72</v>
      </c>
      <c r="C174" s="4">
        <v>45973</v>
      </c>
      <c r="D174" s="2">
        <v>43912</v>
      </c>
      <c r="E174" t="s">
        <v>15</v>
      </c>
    </row>
    <row r="175" spans="1:5">
      <c r="A175" s="37" t="s">
        <v>126</v>
      </c>
      <c r="B175" t="s">
        <v>7</v>
      </c>
      <c r="C175" s="4">
        <v>45973</v>
      </c>
      <c r="D175" s="2">
        <v>50000</v>
      </c>
      <c r="E175" t="s">
        <v>7</v>
      </c>
    </row>
    <row r="176" spans="1:5">
      <c r="A176" s="37" t="s">
        <v>73</v>
      </c>
      <c r="B176" t="s">
        <v>208</v>
      </c>
      <c r="C176" s="4">
        <v>45987</v>
      </c>
      <c r="D176" s="2">
        <v>9600</v>
      </c>
      <c r="E176" t="s">
        <v>15</v>
      </c>
    </row>
    <row r="177" spans="1:5">
      <c r="A177" s="37" t="s">
        <v>73</v>
      </c>
      <c r="C177" s="4">
        <v>45987</v>
      </c>
      <c r="D177" s="2">
        <v>12000</v>
      </c>
      <c r="E177" t="s">
        <v>15</v>
      </c>
    </row>
    <row r="178" spans="1:5">
      <c r="A178" s="37" t="s">
        <v>50</v>
      </c>
      <c r="B178" t="s">
        <v>209</v>
      </c>
      <c r="C178" s="4">
        <v>45987</v>
      </c>
      <c r="D178" s="2">
        <v>2768</v>
      </c>
      <c r="E178" t="s">
        <v>149</v>
      </c>
    </row>
    <row r="179" spans="1:5">
      <c r="A179" s="37" t="s">
        <v>61</v>
      </c>
      <c r="B179" t="s">
        <v>189</v>
      </c>
      <c r="C179" s="4">
        <v>45987</v>
      </c>
      <c r="D179" s="2">
        <v>14000</v>
      </c>
      <c r="E179" t="s">
        <v>15</v>
      </c>
    </row>
    <row r="180" spans="1:5">
      <c r="A180" s="37" t="s">
        <v>61</v>
      </c>
      <c r="C180" s="4">
        <v>45987</v>
      </c>
      <c r="D180" s="2">
        <v>5000</v>
      </c>
      <c r="E180" t="s">
        <v>15</v>
      </c>
    </row>
    <row r="181" spans="1:5">
      <c r="A181" s="37" t="s">
        <v>61</v>
      </c>
      <c r="C181" s="4">
        <v>45987</v>
      </c>
      <c r="D181" s="2">
        <v>15320</v>
      </c>
      <c r="E181" t="s">
        <v>15</v>
      </c>
    </row>
    <row r="182" spans="1:5">
      <c r="A182" s="37" t="s">
        <v>161</v>
      </c>
      <c r="B182" t="s">
        <v>210</v>
      </c>
      <c r="C182" s="4">
        <v>45992</v>
      </c>
      <c r="D182" s="2">
        <v>100000</v>
      </c>
      <c r="E182" t="s">
        <v>15</v>
      </c>
    </row>
    <row r="183" spans="1:5">
      <c r="A183" s="37" t="s">
        <v>211</v>
      </c>
      <c r="B183" t="s">
        <v>212</v>
      </c>
      <c r="C183" s="4">
        <v>45992</v>
      </c>
      <c r="D183" s="2">
        <v>75520</v>
      </c>
      <c r="E183" t="s">
        <v>15</v>
      </c>
    </row>
    <row r="184" spans="1:5">
      <c r="A184" s="37" t="s">
        <v>213</v>
      </c>
      <c r="B184" t="s">
        <v>214</v>
      </c>
      <c r="C184" s="4">
        <v>45992</v>
      </c>
      <c r="D184" s="2">
        <v>9499.05</v>
      </c>
      <c r="E184" t="s">
        <v>15</v>
      </c>
    </row>
    <row r="185" spans="1:5">
      <c r="A185" s="37" t="s">
        <v>56</v>
      </c>
      <c r="B185" t="s">
        <v>215</v>
      </c>
      <c r="C185" s="4">
        <v>45992</v>
      </c>
      <c r="D185" s="2">
        <v>22050.87</v>
      </c>
      <c r="E185" t="s">
        <v>15</v>
      </c>
    </row>
    <row r="186" spans="1:5">
      <c r="A186" s="37" t="s">
        <v>152</v>
      </c>
      <c r="B186" t="s">
        <v>216</v>
      </c>
      <c r="C186" s="4">
        <v>45995</v>
      </c>
      <c r="D186" s="2">
        <v>1500</v>
      </c>
      <c r="E186" t="s">
        <v>217</v>
      </c>
    </row>
    <row r="187" spans="1:5">
      <c r="A187" s="37" t="s">
        <v>152</v>
      </c>
      <c r="B187" t="s">
        <v>216</v>
      </c>
      <c r="C187" s="4">
        <v>45995</v>
      </c>
      <c r="D187" s="2">
        <v>1600</v>
      </c>
      <c r="E187" t="s">
        <v>217</v>
      </c>
    </row>
    <row r="188" spans="1:5">
      <c r="A188" s="37" t="s">
        <v>218</v>
      </c>
      <c r="B188" t="s">
        <v>219</v>
      </c>
      <c r="C188" s="4">
        <v>45999</v>
      </c>
      <c r="D188" s="2">
        <v>38961</v>
      </c>
      <c r="E188" t="s">
        <v>217</v>
      </c>
    </row>
    <row r="189" spans="1:5">
      <c r="A189" s="37" t="s">
        <v>137</v>
      </c>
      <c r="B189" t="s">
        <v>220</v>
      </c>
      <c r="C189" s="4">
        <v>46003</v>
      </c>
      <c r="D189" s="2">
        <v>400</v>
      </c>
      <c r="E189" t="s">
        <v>217</v>
      </c>
    </row>
    <row r="190" spans="1:5">
      <c r="A190" s="37" t="s">
        <v>221</v>
      </c>
      <c r="B190" t="s">
        <v>222</v>
      </c>
      <c r="C190" s="4">
        <v>46007</v>
      </c>
      <c r="D190" s="2">
        <v>64192</v>
      </c>
      <c r="E190" t="s">
        <v>223</v>
      </c>
    </row>
    <row r="191" spans="1:5">
      <c r="A191" s="37" t="s">
        <v>221</v>
      </c>
      <c r="B191" t="s">
        <v>224</v>
      </c>
      <c r="C191" s="4">
        <v>46007</v>
      </c>
      <c r="D191" s="2">
        <v>99008</v>
      </c>
      <c r="E191" t="s">
        <v>223</v>
      </c>
    </row>
    <row r="192" spans="1:5">
      <c r="A192" s="37" t="s">
        <v>225</v>
      </c>
      <c r="B192" t="s">
        <v>226</v>
      </c>
      <c r="C192" s="4">
        <v>46007</v>
      </c>
      <c r="D192" s="2">
        <v>326000</v>
      </c>
      <c r="E192" t="s">
        <v>227</v>
      </c>
    </row>
    <row r="193" spans="1:5">
      <c r="A193" s="37" t="s">
        <v>152</v>
      </c>
      <c r="B193" t="s">
        <v>216</v>
      </c>
      <c r="C193" s="4">
        <v>46007</v>
      </c>
      <c r="D193" s="2">
        <v>6330</v>
      </c>
      <c r="E193" t="s">
        <v>217</v>
      </c>
    </row>
    <row r="194" spans="1:5">
      <c r="A194" s="37" t="s">
        <v>228</v>
      </c>
      <c r="B194" t="s">
        <v>229</v>
      </c>
      <c r="C194" s="4">
        <v>46007</v>
      </c>
      <c r="D194" s="2">
        <v>7875</v>
      </c>
      <c r="E194" t="s">
        <v>15</v>
      </c>
    </row>
    <row r="195" spans="1:5">
      <c r="A195" s="37" t="s">
        <v>230</v>
      </c>
      <c r="B195" t="s">
        <v>231</v>
      </c>
      <c r="C195" s="4">
        <v>46008</v>
      </c>
      <c r="D195" s="2">
        <v>78000</v>
      </c>
      <c r="E195" t="s">
        <v>227</v>
      </c>
    </row>
    <row r="196" spans="1:5">
      <c r="A196" s="37" t="s">
        <v>161</v>
      </c>
      <c r="B196" t="s">
        <v>210</v>
      </c>
      <c r="C196" s="4">
        <v>46016</v>
      </c>
      <c r="D196" s="2">
        <v>50000</v>
      </c>
      <c r="E196" t="s">
        <v>15</v>
      </c>
    </row>
    <row r="197" spans="1:5">
      <c r="A197" s="37" t="s">
        <v>179</v>
      </c>
      <c r="B197" t="s">
        <v>232</v>
      </c>
      <c r="C197" s="4">
        <v>46016</v>
      </c>
      <c r="D197" s="2">
        <v>1845340</v>
      </c>
      <c r="E197" t="s">
        <v>121</v>
      </c>
    </row>
    <row r="198" spans="1:5">
      <c r="A198" s="37" t="s">
        <v>233</v>
      </c>
      <c r="B198" t="s">
        <v>234</v>
      </c>
      <c r="C198" s="4">
        <v>46020</v>
      </c>
      <c r="D198" s="2">
        <v>42583.95</v>
      </c>
      <c r="E198" t="s">
        <v>217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G15" sqref="G15"/>
    </sheetView>
  </sheetViews>
  <sheetFormatPr defaultColWidth="9.16071428571429" defaultRowHeight="17.6" outlineLevelCol="6"/>
  <cols>
    <col min="1" max="1" width="12" style="1" customWidth="1"/>
    <col min="2" max="2" width="17.1607142857143" style="2" customWidth="1"/>
    <col min="3" max="3" width="12.5" style="1" customWidth="1"/>
    <col min="4" max="4" width="8.5" style="1" customWidth="1"/>
    <col min="5" max="5" width="8.5" style="8" customWidth="1"/>
    <col min="6" max="6" width="19.3303571428571" style="1" customWidth="1"/>
    <col min="7" max="7" width="11.6607142857143"/>
  </cols>
  <sheetData>
    <row r="1" s="1" customFormat="1" spans="1:7">
      <c r="A1" s="1" t="s">
        <v>2</v>
      </c>
      <c r="B1" s="3" t="s">
        <v>3</v>
      </c>
      <c r="C1" s="1" t="s">
        <v>4</v>
      </c>
      <c r="D1" s="1" t="s">
        <v>5</v>
      </c>
      <c r="E1" s="8" t="s">
        <v>6</v>
      </c>
      <c r="F1" s="1" t="s">
        <v>235</v>
      </c>
      <c r="G1" s="1" t="s">
        <v>1</v>
      </c>
    </row>
    <row r="2" spans="1:7">
      <c r="A2" s="13">
        <v>45671</v>
      </c>
      <c r="B2" s="2">
        <v>23960129.42</v>
      </c>
      <c r="C2" s="50" t="s">
        <v>236</v>
      </c>
      <c r="D2" s="1" t="s">
        <v>12</v>
      </c>
      <c r="E2" s="8">
        <v>20</v>
      </c>
      <c r="F2" s="43" t="s">
        <v>237</v>
      </c>
    </row>
    <row r="3" spans="1:7">
      <c r="A3" s="13">
        <v>45671</v>
      </c>
      <c r="B3" s="2">
        <v>1727725.56</v>
      </c>
      <c r="C3" s="50" t="s">
        <v>236</v>
      </c>
      <c r="D3" s="1" t="s">
        <v>12</v>
      </c>
      <c r="E3" s="8">
        <v>21</v>
      </c>
      <c r="F3" s="43" t="s">
        <v>237</v>
      </c>
    </row>
    <row r="4" spans="1:7">
      <c r="A4" s="13">
        <v>45671</v>
      </c>
      <c r="B4" s="2">
        <v>3679350.71</v>
      </c>
      <c r="C4" s="50" t="s">
        <v>236</v>
      </c>
      <c r="D4" s="1" t="s">
        <v>12</v>
      </c>
      <c r="E4" s="8">
        <v>22</v>
      </c>
      <c r="F4" s="43" t="s">
        <v>237</v>
      </c>
    </row>
    <row r="5" spans="1:7">
      <c r="A5" s="13">
        <v>45629</v>
      </c>
      <c r="B5" s="2">
        <v>11954446.72</v>
      </c>
      <c r="C5" s="50" t="s">
        <v>238</v>
      </c>
      <c r="D5" s="1" t="s">
        <v>12</v>
      </c>
      <c r="E5" s="8" t="s">
        <v>239</v>
      </c>
      <c r="F5" s="43" t="s">
        <v>237</v>
      </c>
    </row>
    <row r="6" spans="1:7">
      <c r="A6" s="13">
        <v>45645</v>
      </c>
      <c r="B6" s="2">
        <v>8229474.57</v>
      </c>
      <c r="C6" s="50" t="s">
        <v>238</v>
      </c>
      <c r="D6" s="1" t="s">
        <v>12</v>
      </c>
      <c r="E6" s="8" t="s">
        <v>240</v>
      </c>
      <c r="F6" s="43" t="s">
        <v>237</v>
      </c>
    </row>
    <row r="7" spans="1:7">
      <c r="A7" s="13">
        <v>45705</v>
      </c>
      <c r="B7" s="2">
        <v>29966278.86</v>
      </c>
      <c r="C7" s="50" t="s">
        <v>241</v>
      </c>
      <c r="D7" s="1" t="s">
        <v>12</v>
      </c>
      <c r="E7" s="8" t="s">
        <v>242</v>
      </c>
      <c r="F7" s="43" t="s">
        <v>237</v>
      </c>
    </row>
    <row r="8" spans="1:7">
      <c r="A8" s="13">
        <v>45705</v>
      </c>
      <c r="B8" s="2">
        <v>20403309.47</v>
      </c>
      <c r="C8" s="50" t="s">
        <v>241</v>
      </c>
      <c r="D8" s="1" t="s">
        <v>12</v>
      </c>
      <c r="E8" s="8" t="s">
        <v>243</v>
      </c>
      <c r="F8" s="43" t="s">
        <v>237</v>
      </c>
    </row>
    <row r="9" spans="1:7">
      <c r="A9" s="13">
        <v>45714</v>
      </c>
      <c r="B9" s="2">
        <v>29318316.38</v>
      </c>
      <c r="C9" s="50" t="s">
        <v>241</v>
      </c>
      <c r="D9" s="1" t="s">
        <v>12</v>
      </c>
      <c r="E9" s="8" t="s">
        <v>244</v>
      </c>
      <c r="F9" s="43" t="s">
        <v>237</v>
      </c>
    </row>
    <row r="10" spans="1:7">
      <c r="A10" s="13">
        <v>45723</v>
      </c>
      <c r="B10" s="2">
        <v>10626240.77</v>
      </c>
      <c r="C10" s="50" t="s">
        <v>245</v>
      </c>
      <c r="D10" s="1" t="s">
        <v>12</v>
      </c>
      <c r="E10" s="8" t="s">
        <v>246</v>
      </c>
      <c r="F10" s="43" t="s">
        <v>237</v>
      </c>
    </row>
    <row r="11" spans="1:7">
      <c r="A11" s="13">
        <v>45728</v>
      </c>
      <c r="B11" s="2">
        <v>50177558.06</v>
      </c>
      <c r="C11" s="50" t="s">
        <v>245</v>
      </c>
      <c r="D11" s="1" t="s">
        <v>12</v>
      </c>
      <c r="E11" s="8" t="s">
        <v>247</v>
      </c>
      <c r="F11" s="43" t="s">
        <v>237</v>
      </c>
    </row>
    <row r="12" spans="1:7">
      <c r="A12" s="13">
        <v>45741</v>
      </c>
      <c r="B12" s="2">
        <v>19641861.57</v>
      </c>
      <c r="C12" s="50" t="s">
        <v>245</v>
      </c>
      <c r="D12" s="1" t="s">
        <v>12</v>
      </c>
      <c r="F12" s="43" t="s">
        <v>237</v>
      </c>
    </row>
    <row r="13" spans="1:7">
      <c r="A13" s="13">
        <v>45791</v>
      </c>
      <c r="B13" s="2">
        <v>2290312.44</v>
      </c>
      <c r="C13" s="50" t="s">
        <v>248</v>
      </c>
      <c r="D13" s="1" t="s">
        <v>12</v>
      </c>
      <c r="E13" s="8" t="s">
        <v>249</v>
      </c>
      <c r="F13" s="43" t="s">
        <v>237</v>
      </c>
    </row>
    <row r="14" spans="1:7">
      <c r="A14" s="13">
        <v>45828</v>
      </c>
      <c r="B14" s="2">
        <v>1707146.9</v>
      </c>
      <c r="C14" s="50" t="s">
        <v>250</v>
      </c>
      <c r="D14" s="1" t="s">
        <v>12</v>
      </c>
      <c r="F14" s="43" t="s">
        <v>237</v>
      </c>
    </row>
    <row r="22" spans="1:1">
      <c r="A22" s="11"/>
    </row>
    <row r="25" spans="1:1">
      <c r="A25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E3" sqref="E3:E6"/>
    </sheetView>
  </sheetViews>
  <sheetFormatPr defaultColWidth="9.16071428571429" defaultRowHeight="17.6" outlineLevelCol="6"/>
  <cols>
    <col min="1" max="1" width="17" style="1" customWidth="1"/>
    <col min="2" max="2" width="33.3303571428571" style="1" customWidth="1"/>
    <col min="3" max="3" width="10.8303571428571" customWidth="1"/>
    <col min="4" max="4" width="17.2053571428571" style="2" customWidth="1"/>
    <col min="5" max="5" width="17" customWidth="1"/>
    <col min="6" max="6" width="5.83035714285714" style="1" customWidth="1"/>
    <col min="7" max="7" width="9.33035714285714" style="1" customWidth="1"/>
  </cols>
  <sheetData>
    <row r="1" s="1" customFormat="1" spans="1:7">
      <c r="A1" s="1" t="s">
        <v>235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44" t="s">
        <v>251</v>
      </c>
      <c r="B2" s="21" t="s">
        <v>252</v>
      </c>
      <c r="C2" s="4">
        <v>45743</v>
      </c>
      <c r="D2" s="22">
        <v>4821447</v>
      </c>
      <c r="E2" s="45" t="s">
        <v>251</v>
      </c>
      <c r="F2" s="1" t="s">
        <v>8</v>
      </c>
    </row>
    <row r="3" spans="1:7">
      <c r="A3" s="44" t="s">
        <v>251</v>
      </c>
      <c r="B3" s="1" t="s">
        <v>253</v>
      </c>
      <c r="C3" s="4">
        <v>45807</v>
      </c>
      <c r="D3" s="2">
        <v>49990100</v>
      </c>
      <c r="E3" s="45" t="s">
        <v>251</v>
      </c>
      <c r="F3" s="1" t="s">
        <v>8</v>
      </c>
    </row>
    <row r="4" spans="1:7">
      <c r="A4" s="44" t="s">
        <v>251</v>
      </c>
      <c r="B4" s="1" t="s">
        <v>254</v>
      </c>
      <c r="C4" s="4">
        <v>45908</v>
      </c>
      <c r="D4" s="2">
        <v>17958676.89</v>
      </c>
      <c r="E4" s="45" t="s">
        <v>251</v>
      </c>
    </row>
    <row r="5" spans="1:7">
      <c r="A5" s="44" t="s">
        <v>251</v>
      </c>
      <c r="B5" s="1" t="s">
        <v>254</v>
      </c>
      <c r="C5" s="4">
        <v>45905</v>
      </c>
      <c r="D5" s="2">
        <v>11981323.11</v>
      </c>
      <c r="E5" s="45" t="s">
        <v>251</v>
      </c>
    </row>
    <row r="6" spans="1:7">
      <c r="A6" s="1" t="s">
        <v>255</v>
      </c>
      <c r="B6" s="1" t="s">
        <v>254</v>
      </c>
      <c r="C6" s="4">
        <v>45929</v>
      </c>
      <c r="D6" s="2">
        <v>20007500</v>
      </c>
      <c r="E6" s="45" t="s">
        <v>251</v>
      </c>
    </row>
    <row r="7" spans="1:7">
      <c r="A7" s="7"/>
      <c r="C7" s="4"/>
    </row>
    <row r="10" spans="1:7">
      <c r="C10" s="11"/>
    </row>
    <row r="11" spans="1:7">
      <c r="C11" s="11"/>
    </row>
    <row r="22" spans="3:3">
      <c r="C22" s="11"/>
    </row>
    <row r="25" spans="3:3">
      <c r="C25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zoomScale="80" zoomScaleNormal="80" workbookViewId="0">
      <selection activeCell="E28" sqref="E28"/>
    </sheetView>
  </sheetViews>
  <sheetFormatPr defaultColWidth="9.16071428571429" defaultRowHeight="17.6" outlineLevelCol="4"/>
  <cols>
    <col min="1" max="1" width="12" customWidth="1"/>
    <col min="2" max="2" width="17.1607142857143" style="2" customWidth="1"/>
    <col min="3" max="3" width="21.8303571428571" customWidth="1"/>
    <col min="4" max="4" width="8.5" style="1" customWidth="1"/>
    <col min="5" max="5" width="29.8303571428571" customWidth="1"/>
  </cols>
  <sheetData>
    <row r="1" s="1" customFormat="1" spans="1:5">
      <c r="A1" s="1" t="s">
        <v>2</v>
      </c>
      <c r="B1" s="3" t="s">
        <v>3</v>
      </c>
      <c r="C1" s="1" t="s">
        <v>4</v>
      </c>
      <c r="D1" s="1" t="s">
        <v>5</v>
      </c>
      <c r="E1" s="1" t="s">
        <v>1</v>
      </c>
    </row>
    <row r="2" spans="1:5">
      <c r="A2" s="4">
        <v>45608</v>
      </c>
      <c r="B2" s="2">
        <v>2000000</v>
      </c>
      <c r="C2" s="4" t="s">
        <v>256</v>
      </c>
      <c r="D2" s="1" t="s">
        <v>8</v>
      </c>
    </row>
    <row r="3" spans="1:5">
      <c r="A3" s="4">
        <v>45615</v>
      </c>
      <c r="B3" s="2">
        <v>10108090</v>
      </c>
      <c r="C3" s="4" t="s">
        <v>256</v>
      </c>
      <c r="D3" s="1" t="s">
        <v>8</v>
      </c>
    </row>
    <row r="4" spans="1:5">
      <c r="A4" s="4">
        <v>45646</v>
      </c>
      <c r="B4" s="2">
        <v>5000000</v>
      </c>
      <c r="C4" s="4" t="s">
        <v>256</v>
      </c>
      <c r="D4" s="1" t="s">
        <v>8</v>
      </c>
    </row>
    <row r="5" spans="1:5">
      <c r="A5" s="4">
        <v>45708</v>
      </c>
      <c r="B5" s="2">
        <v>12829987.5</v>
      </c>
      <c r="C5" s="4" t="s">
        <v>257</v>
      </c>
      <c r="D5" s="1" t="s">
        <v>8</v>
      </c>
      <c r="E5" s="51" t="s">
        <v>258</v>
      </c>
    </row>
    <row r="6" spans="1:5">
      <c r="A6" s="4">
        <v>45741</v>
      </c>
      <c r="B6" s="2">
        <v>11009630</v>
      </c>
      <c r="C6" s="4" t="s">
        <v>259</v>
      </c>
      <c r="D6" s="1" t="s">
        <v>8</v>
      </c>
      <c r="E6" s="51" t="s">
        <v>260</v>
      </c>
    </row>
    <row r="7" spans="1:5">
      <c r="A7" s="4">
        <v>45771</v>
      </c>
      <c r="B7" s="2">
        <v>10284937</v>
      </c>
      <c r="C7" s="4" t="s">
        <v>261</v>
      </c>
      <c r="D7" s="1" t="s">
        <v>8</v>
      </c>
    </row>
    <row r="8" spans="1:5">
      <c r="A8" s="4">
        <v>45818</v>
      </c>
      <c r="B8" s="2">
        <v>9589395.5</v>
      </c>
      <c r="C8" s="4" t="s">
        <v>262</v>
      </c>
      <c r="D8" s="1" t="s">
        <v>8</v>
      </c>
    </row>
    <row r="9" spans="1:5">
      <c r="A9" s="4"/>
      <c r="C9" s="4"/>
      <c r="D9" s="1" t="s">
        <v>8</v>
      </c>
    </row>
    <row r="10" spans="1:5">
      <c r="A10" s="11"/>
      <c r="D10" s="1" t="s">
        <v>8</v>
      </c>
    </row>
    <row r="11" spans="1:5">
      <c r="A11" s="11"/>
    </row>
    <row r="22" spans="1:1">
      <c r="A22" s="11"/>
    </row>
    <row r="25" spans="1:1">
      <c r="A25" s="1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C11" sqref="C11"/>
    </sheetView>
  </sheetViews>
  <sheetFormatPr defaultColWidth="9.16071428571429" defaultRowHeight="17.6" outlineLevelCol="6"/>
  <cols>
    <col min="1" max="1" width="40.2857142857143" style="7" customWidth="1"/>
    <col min="2" max="2" width="31.7142857142857" customWidth="1"/>
    <col min="3" max="3" width="12" customWidth="1"/>
    <col min="4" max="4" width="16" style="2" customWidth="1"/>
    <col min="5" max="5" width="40.2857142857143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pans="1:7">
      <c r="A2" s="7" t="s">
        <v>264</v>
      </c>
      <c r="C2" s="4">
        <v>45734</v>
      </c>
      <c r="D2" s="2">
        <v>2622271.91</v>
      </c>
      <c r="E2" s="7" t="s">
        <v>264</v>
      </c>
      <c r="F2" s="1" t="s">
        <v>8</v>
      </c>
      <c r="G2" s="8" t="s">
        <v>265</v>
      </c>
    </row>
    <row r="3" spans="1:7">
      <c r="A3" s="7" t="s">
        <v>266</v>
      </c>
      <c r="B3" t="s">
        <v>267</v>
      </c>
      <c r="C3" s="4">
        <v>45771</v>
      </c>
      <c r="D3" s="2">
        <v>928791.8</v>
      </c>
      <c r="E3" s="7" t="s">
        <v>266</v>
      </c>
      <c r="F3" s="1" t="s">
        <v>8</v>
      </c>
      <c r="G3" s="8" t="s">
        <v>268</v>
      </c>
    </row>
    <row r="4" spans="1:7">
      <c r="A4" s="7" t="s">
        <v>269</v>
      </c>
      <c r="B4" t="s">
        <v>270</v>
      </c>
      <c r="C4" s="4">
        <v>45771</v>
      </c>
      <c r="D4" s="2">
        <v>485832.64</v>
      </c>
      <c r="E4" s="7" t="s">
        <v>269</v>
      </c>
      <c r="F4" s="1" t="s">
        <v>8</v>
      </c>
      <c r="G4" s="8" t="s">
        <v>271</v>
      </c>
    </row>
    <row r="5" customFormat="1" spans="1:7">
      <c r="A5" s="7" t="s">
        <v>272</v>
      </c>
      <c r="B5" t="s">
        <v>273</v>
      </c>
      <c r="C5" s="4">
        <v>45792</v>
      </c>
      <c r="D5" s="2">
        <v>1354286.16</v>
      </c>
      <c r="E5" s="7" t="s">
        <v>272</v>
      </c>
      <c r="F5" s="1"/>
      <c r="G5" s="8"/>
    </row>
    <row r="6" spans="1:7">
      <c r="A6" s="7" t="s">
        <v>269</v>
      </c>
      <c r="B6" t="s">
        <v>274</v>
      </c>
      <c r="C6" s="4">
        <v>45807</v>
      </c>
      <c r="D6" s="2">
        <v>29562858.6</v>
      </c>
      <c r="E6" s="7" t="s">
        <v>269</v>
      </c>
      <c r="G6" s="8" t="s">
        <v>275</v>
      </c>
    </row>
    <row r="7" spans="1:7">
      <c r="A7" s="7" t="s">
        <v>276</v>
      </c>
      <c r="B7" t="s">
        <v>277</v>
      </c>
      <c r="C7" s="4">
        <v>45831</v>
      </c>
      <c r="D7" s="2">
        <v>33760078.4</v>
      </c>
      <c r="E7" s="7" t="s">
        <v>276</v>
      </c>
    </row>
    <row r="8" spans="1:7">
      <c r="A8" s="7" t="s">
        <v>278</v>
      </c>
      <c r="B8" t="s">
        <v>279</v>
      </c>
      <c r="C8" s="4">
        <v>45847</v>
      </c>
      <c r="D8" s="2">
        <v>39013185.2</v>
      </c>
      <c r="E8" s="7" t="s">
        <v>278</v>
      </c>
    </row>
    <row r="9" spans="1:7">
      <c r="A9" s="7" t="s">
        <v>280</v>
      </c>
      <c r="B9" t="s">
        <v>281</v>
      </c>
      <c r="C9" s="4">
        <v>45883</v>
      </c>
      <c r="D9" s="2">
        <v>39596666.5</v>
      </c>
      <c r="E9" s="7" t="s">
        <v>280</v>
      </c>
    </row>
    <row r="10" spans="1:7">
      <c r="A10" s="11" t="s">
        <v>280</v>
      </c>
      <c r="B10" s="2" t="s">
        <v>282</v>
      </c>
      <c r="C10" s="18">
        <v>45926</v>
      </c>
      <c r="D10" s="2">
        <v>20522000</v>
      </c>
      <c r="E10" s="11" t="s">
        <v>280</v>
      </c>
    </row>
    <row r="11" spans="1:7">
      <c r="C11" s="11"/>
    </row>
    <row r="22" spans="3:3">
      <c r="C22" s="11"/>
    </row>
    <row r="25" spans="3:3">
      <c r="C25" s="1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F35" sqref="F35"/>
    </sheetView>
  </sheetViews>
  <sheetFormatPr defaultColWidth="9.16071428571429" defaultRowHeight="17.6" outlineLevelCol="6"/>
  <cols>
    <col min="1" max="1" width="12" style="1" customWidth="1"/>
    <col min="2" max="2" width="17.1607142857143" style="2" customWidth="1"/>
    <col min="3" max="3" width="12.5" style="1" customWidth="1"/>
    <col min="4" max="4" width="8.5" style="1" customWidth="1"/>
    <col min="5" max="5" width="8.5" style="8" customWidth="1"/>
    <col min="6" max="6" width="34.3571428571429" style="1" customWidth="1"/>
    <col min="7" max="7" width="19.1428571428571" customWidth="1"/>
  </cols>
  <sheetData>
    <row r="1" s="1" customFormat="1" spans="1:7">
      <c r="A1" s="1" t="s">
        <v>2</v>
      </c>
      <c r="B1" s="3" t="s">
        <v>3</v>
      </c>
      <c r="C1" s="1" t="s">
        <v>4</v>
      </c>
      <c r="D1" s="1" t="s">
        <v>5</v>
      </c>
      <c r="E1" s="8" t="s">
        <v>6</v>
      </c>
      <c r="F1" s="1" t="s">
        <v>235</v>
      </c>
      <c r="G1" s="1" t="s">
        <v>1</v>
      </c>
    </row>
    <row r="2" spans="1:7">
      <c r="A2" s="13">
        <v>45807</v>
      </c>
      <c r="B2" s="2">
        <v>34802880.44</v>
      </c>
      <c r="C2" s="50" t="s">
        <v>248</v>
      </c>
      <c r="D2" s="1" t="s">
        <v>8</v>
      </c>
      <c r="E2" s="8" t="s">
        <v>283</v>
      </c>
      <c r="F2" s="43" t="s">
        <v>284</v>
      </c>
      <c r="G2" t="s">
        <v>285</v>
      </c>
    </row>
    <row r="3" spans="1:7">
      <c r="A3" s="13">
        <v>46006</v>
      </c>
      <c r="B3" s="1">
        <v>10725533.79</v>
      </c>
      <c r="F3" s="1" t="s">
        <v>284</v>
      </c>
      <c r="G3" s="2" t="s">
        <v>286</v>
      </c>
    </row>
    <row r="11" spans="1:7">
      <c r="A11" s="11"/>
    </row>
    <row r="14" spans="1:7">
      <c r="A14" s="1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H26" sqref="H26"/>
    </sheetView>
  </sheetViews>
  <sheetFormatPr defaultColWidth="9.16071428571429" defaultRowHeight="17.6" outlineLevelCol="6"/>
  <cols>
    <col min="1" max="1" width="45.5" style="1" customWidth="1"/>
    <col min="2" max="2" width="39.2142857142857" customWidth="1"/>
    <col min="3" max="3" width="10.7857142857143" style="1" customWidth="1"/>
    <col min="4" max="4" width="17.2053571428571" style="2" customWidth="1"/>
    <col min="5" max="5" width="45.5" style="1" customWidth="1"/>
    <col min="6" max="6" width="5.85714285714286" style="1" customWidth="1"/>
    <col min="7" max="7" width="9.35714285714286" style="8" customWidth="1"/>
  </cols>
  <sheetData>
    <row r="1" s="1" customFormat="1" spans="1:7">
      <c r="A1" s="1" t="s">
        <v>235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43" t="s">
        <v>287</v>
      </c>
      <c r="B2" t="s">
        <v>288</v>
      </c>
      <c r="C2" s="13">
        <v>45728</v>
      </c>
      <c r="D2" s="2">
        <v>9524295</v>
      </c>
      <c r="E2" s="43" t="s">
        <v>287</v>
      </c>
      <c r="F2" s="1" t="s">
        <v>8</v>
      </c>
      <c r="G2" s="8" t="s">
        <v>289</v>
      </c>
    </row>
    <row r="3" spans="1:7">
      <c r="A3" s="43" t="s">
        <v>287</v>
      </c>
      <c r="B3" t="s">
        <v>290</v>
      </c>
      <c r="C3" s="13">
        <v>45791</v>
      </c>
      <c r="D3" s="2">
        <v>8694072</v>
      </c>
      <c r="E3" s="43" t="s">
        <v>287</v>
      </c>
      <c r="G3" s="8" t="s">
        <v>291</v>
      </c>
    </row>
    <row r="4" spans="1:7">
      <c r="A4" s="43" t="s">
        <v>287</v>
      </c>
      <c r="B4" t="s">
        <v>292</v>
      </c>
      <c r="C4" s="13">
        <v>45800</v>
      </c>
      <c r="D4" s="2">
        <v>1687575</v>
      </c>
      <c r="E4" s="43" t="s">
        <v>287</v>
      </c>
      <c r="G4" s="8" t="s">
        <v>293</v>
      </c>
    </row>
    <row r="5" spans="1:7">
      <c r="A5" s="43" t="s">
        <v>294</v>
      </c>
      <c r="B5" t="s">
        <v>295</v>
      </c>
      <c r="C5" s="13">
        <v>45827</v>
      </c>
      <c r="D5" s="2">
        <v>9000000</v>
      </c>
      <c r="E5" s="1" t="s">
        <v>294</v>
      </c>
    </row>
    <row r="6" spans="1:7">
      <c r="A6" s="43" t="s">
        <v>296</v>
      </c>
      <c r="B6" t="s">
        <v>297</v>
      </c>
      <c r="C6" s="13">
        <v>45827</v>
      </c>
      <c r="D6" s="2">
        <v>907076</v>
      </c>
      <c r="E6" s="1" t="s">
        <v>296</v>
      </c>
    </row>
    <row r="7" spans="1:7">
      <c r="A7" s="43" t="s">
        <v>296</v>
      </c>
      <c r="B7" t="s">
        <v>298</v>
      </c>
      <c r="C7" s="13">
        <v>45834</v>
      </c>
      <c r="D7" s="2">
        <v>2372372</v>
      </c>
      <c r="E7" s="1" t="s">
        <v>296</v>
      </c>
    </row>
    <row r="8" spans="1:7">
      <c r="A8" s="43" t="s">
        <v>287</v>
      </c>
      <c r="B8" t="s">
        <v>299</v>
      </c>
      <c r="C8" s="13">
        <v>45828</v>
      </c>
      <c r="D8" s="2">
        <v>950868.4</v>
      </c>
      <c r="E8" s="43" t="s">
        <v>287</v>
      </c>
    </row>
    <row r="9" spans="1:7">
      <c r="A9" s="43" t="s">
        <v>300</v>
      </c>
      <c r="B9" t="s">
        <v>301</v>
      </c>
      <c r="C9" s="13">
        <v>45832</v>
      </c>
      <c r="D9" s="2">
        <v>4875000</v>
      </c>
      <c r="E9" s="1" t="s">
        <v>300</v>
      </c>
    </row>
    <row r="10" spans="1:7">
      <c r="A10" s="43" t="s">
        <v>287</v>
      </c>
      <c r="B10" t="s">
        <v>302</v>
      </c>
      <c r="C10" s="13">
        <v>45841</v>
      </c>
      <c r="D10" s="2">
        <v>3069000</v>
      </c>
      <c r="E10" s="43" t="s">
        <v>287</v>
      </c>
    </row>
    <row r="11" spans="1:7">
      <c r="A11" s="43" t="s">
        <v>287</v>
      </c>
      <c r="B11" t="s">
        <v>303</v>
      </c>
      <c r="C11" s="13">
        <v>45853</v>
      </c>
      <c r="D11" s="2">
        <v>27504270.12</v>
      </c>
      <c r="E11" s="43" t="s">
        <v>287</v>
      </c>
    </row>
    <row r="12" spans="1:7">
      <c r="A12" s="43" t="s">
        <v>287</v>
      </c>
      <c r="B12" t="s">
        <v>304</v>
      </c>
      <c r="C12" s="13">
        <v>45880</v>
      </c>
      <c r="D12" s="2">
        <v>3281961.76</v>
      </c>
      <c r="E12" s="43" t="s">
        <v>287</v>
      </c>
    </row>
    <row r="13" spans="1:7">
      <c r="A13" s="43" t="s">
        <v>296</v>
      </c>
      <c r="B13" t="s">
        <v>305</v>
      </c>
      <c r="C13" s="13">
        <v>45899</v>
      </c>
      <c r="D13" s="2">
        <v>1662320</v>
      </c>
      <c r="E13" s="1" t="s">
        <v>296</v>
      </c>
    </row>
    <row r="14" spans="1:7">
      <c r="A14" s="43" t="s">
        <v>287</v>
      </c>
      <c r="B14" t="s">
        <v>304</v>
      </c>
      <c r="C14" s="13">
        <v>45899</v>
      </c>
      <c r="D14" s="2">
        <v>15059247.58</v>
      </c>
      <c r="E14" s="43" t="s">
        <v>287</v>
      </c>
    </row>
    <row r="15" spans="1:7">
      <c r="A15" s="43" t="s">
        <v>306</v>
      </c>
      <c r="B15" t="s">
        <v>307</v>
      </c>
      <c r="C15" s="13">
        <v>45903</v>
      </c>
      <c r="D15" s="2">
        <v>6000000</v>
      </c>
      <c r="E15" s="1" t="s">
        <v>306</v>
      </c>
    </row>
    <row r="16" spans="1:7">
      <c r="A16" s="11" t="s">
        <v>308</v>
      </c>
      <c r="B16" s="2" t="s">
        <v>309</v>
      </c>
      <c r="C16" s="13">
        <v>45931</v>
      </c>
      <c r="D16" s="2">
        <v>9000000</v>
      </c>
      <c r="E16" s="43" t="s">
        <v>287</v>
      </c>
    </row>
    <row r="17" spans="1:5">
      <c r="A17" s="1" t="s">
        <v>300</v>
      </c>
      <c r="B17" t="s">
        <v>310</v>
      </c>
      <c r="C17" s="13">
        <v>45931</v>
      </c>
      <c r="D17" s="2">
        <v>843000.08</v>
      </c>
      <c r="E17" s="1" t="s">
        <v>300</v>
      </c>
    </row>
    <row r="18" spans="1:5">
      <c r="A18" s="1" t="s">
        <v>296</v>
      </c>
      <c r="B18" t="s">
        <v>311</v>
      </c>
      <c r="C18" s="13">
        <v>45938</v>
      </c>
      <c r="D18" s="2">
        <v>4068471</v>
      </c>
      <c r="E18" s="1" t="s">
        <v>296</v>
      </c>
    </row>
    <row r="19" spans="1:5">
      <c r="A19" s="1" t="s">
        <v>312</v>
      </c>
      <c r="B19" t="s">
        <v>313</v>
      </c>
      <c r="C19" s="13">
        <v>45939</v>
      </c>
      <c r="D19" s="2">
        <v>1068573.81</v>
      </c>
      <c r="E19" s="1" t="s">
        <v>312</v>
      </c>
    </row>
    <row r="20" spans="1:5">
      <c r="A20" s="1" t="s">
        <v>294</v>
      </c>
      <c r="B20" t="s">
        <v>314</v>
      </c>
      <c r="C20" s="13">
        <v>45940</v>
      </c>
      <c r="D20" s="2">
        <v>801000</v>
      </c>
      <c r="E20" s="1" t="s">
        <v>294</v>
      </c>
    </row>
    <row r="21" spans="1:5">
      <c r="A21" s="1" t="s">
        <v>315</v>
      </c>
      <c r="B21" t="s">
        <v>316</v>
      </c>
      <c r="C21" s="13">
        <v>46006</v>
      </c>
      <c r="D21" s="2">
        <v>8000000</v>
      </c>
      <c r="E21" s="43" t="s">
        <v>287</v>
      </c>
    </row>
    <row r="22" spans="1:5">
      <c r="A22" s="1" t="s">
        <v>306</v>
      </c>
      <c r="B22" t="s">
        <v>317</v>
      </c>
      <c r="C22" s="13">
        <v>46007</v>
      </c>
      <c r="D22" s="2">
        <v>8000000</v>
      </c>
      <c r="E22" s="1" t="s">
        <v>306</v>
      </c>
    </row>
    <row r="23" spans="1:5">
      <c r="A23" s="1" t="s">
        <v>318</v>
      </c>
      <c r="B23" t="s">
        <v>319</v>
      </c>
      <c r="C23" s="13">
        <v>46008</v>
      </c>
      <c r="D23" s="2">
        <v>5000000</v>
      </c>
      <c r="E23" s="1" t="s">
        <v>318</v>
      </c>
    </row>
    <row r="24" spans="1:5">
      <c r="A24" s="1" t="s">
        <v>312</v>
      </c>
      <c r="B24" t="s">
        <v>320</v>
      </c>
      <c r="C24" s="13">
        <v>46008</v>
      </c>
      <c r="D24" s="2">
        <v>10000000</v>
      </c>
      <c r="E24" s="1" t="s">
        <v>312</v>
      </c>
    </row>
    <row r="25" spans="1:5">
      <c r="A25" s="1" t="s">
        <v>308</v>
      </c>
      <c r="B25" t="s">
        <v>316</v>
      </c>
      <c r="C25" s="13">
        <v>46015</v>
      </c>
      <c r="D25" s="2">
        <v>6000000</v>
      </c>
      <c r="E25" s="43" t="s">
        <v>287</v>
      </c>
    </row>
    <row r="26" spans="1:5">
      <c r="A26" s="1" t="s">
        <v>318</v>
      </c>
      <c r="B26" t="s">
        <v>321</v>
      </c>
      <c r="C26" s="13">
        <v>46017</v>
      </c>
      <c r="D26" s="2">
        <v>3000000</v>
      </c>
      <c r="E26" s="1" t="s">
        <v>318</v>
      </c>
    </row>
    <row r="27" spans="1:5">
      <c r="A27" s="1" t="s">
        <v>306</v>
      </c>
      <c r="B27" t="s">
        <v>322</v>
      </c>
      <c r="C27" s="13">
        <v>46017</v>
      </c>
      <c r="D27" s="2">
        <v>5000000</v>
      </c>
      <c r="E27" s="1" t="s">
        <v>306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19" sqref="E19:E20"/>
    </sheetView>
  </sheetViews>
  <sheetFormatPr defaultColWidth="9.16071428571429" defaultRowHeight="17.6" outlineLevelCol="6"/>
  <cols>
    <col min="1" max="1" width="34.6607142857143" style="7" customWidth="1"/>
    <col min="2" max="2" width="34.5" customWidth="1"/>
    <col min="3" max="3" width="12" customWidth="1"/>
    <col min="4" max="4" width="17.2053571428571" style="2" customWidth="1"/>
    <col min="5" max="5" width="22.5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42" t="s">
        <v>323</v>
      </c>
      <c r="C2" s="4">
        <v>45671</v>
      </c>
      <c r="D2" s="2">
        <v>211500</v>
      </c>
      <c r="E2" t="s">
        <v>324</v>
      </c>
      <c r="F2" s="1" t="s">
        <v>8</v>
      </c>
      <c r="G2" s="8">
        <v>19</v>
      </c>
    </row>
    <row r="3" spans="1:7">
      <c r="A3" s="42" t="s">
        <v>323</v>
      </c>
      <c r="C3" s="4">
        <v>45678</v>
      </c>
      <c r="D3" s="2">
        <v>940000</v>
      </c>
      <c r="E3" t="s">
        <v>325</v>
      </c>
      <c r="F3" s="1" t="s">
        <v>8</v>
      </c>
      <c r="G3" s="8">
        <v>29</v>
      </c>
    </row>
    <row r="4" spans="1:7">
      <c r="A4" s="42" t="s">
        <v>323</v>
      </c>
      <c r="C4" s="4">
        <v>45639</v>
      </c>
      <c r="D4" s="2">
        <v>493500</v>
      </c>
      <c r="E4" t="s">
        <v>324</v>
      </c>
      <c r="F4" s="1" t="s">
        <v>8</v>
      </c>
      <c r="G4" s="8">
        <v>175</v>
      </c>
    </row>
    <row r="5" spans="1:7">
      <c r="A5" s="42" t="s">
        <v>323</v>
      </c>
      <c r="C5" s="4">
        <v>45645</v>
      </c>
      <c r="D5" s="2">
        <v>83500</v>
      </c>
      <c r="E5" t="s">
        <v>326</v>
      </c>
      <c r="F5" s="1" t="s">
        <v>8</v>
      </c>
      <c r="G5" s="8">
        <v>181</v>
      </c>
    </row>
    <row r="6" spans="1:7">
      <c r="A6" s="42" t="s">
        <v>323</v>
      </c>
      <c r="C6" s="4">
        <v>45714</v>
      </c>
      <c r="D6" s="2">
        <v>215000</v>
      </c>
      <c r="E6" t="s">
        <v>327</v>
      </c>
      <c r="F6" s="1" t="s">
        <v>8</v>
      </c>
      <c r="G6" s="8">
        <v>168</v>
      </c>
    </row>
    <row r="7" spans="1:7">
      <c r="A7" s="7" t="s">
        <v>328</v>
      </c>
      <c r="C7" s="4">
        <v>45688</v>
      </c>
      <c r="D7" s="2">
        <v>34000</v>
      </c>
      <c r="E7" t="s">
        <v>329</v>
      </c>
      <c r="F7" s="1" t="s">
        <v>8</v>
      </c>
      <c r="G7" s="8">
        <v>76</v>
      </c>
    </row>
    <row r="8" spans="1:7">
      <c r="A8" s="7" t="s">
        <v>330</v>
      </c>
      <c r="C8" s="4">
        <v>45645</v>
      </c>
      <c r="D8" s="2">
        <v>23400</v>
      </c>
      <c r="E8" t="s">
        <v>331</v>
      </c>
      <c r="F8" s="1" t="s">
        <v>8</v>
      </c>
      <c r="G8" s="8">
        <v>180</v>
      </c>
    </row>
    <row r="9" spans="1:7">
      <c r="A9" s="7" t="s">
        <v>332</v>
      </c>
      <c r="B9" t="s">
        <v>333</v>
      </c>
      <c r="C9" s="4">
        <v>45707</v>
      </c>
      <c r="D9" s="2">
        <v>299000</v>
      </c>
      <c r="E9" t="s">
        <v>334</v>
      </c>
      <c r="F9" s="1" t="s">
        <v>8</v>
      </c>
      <c r="G9" s="8" t="s">
        <v>335</v>
      </c>
    </row>
    <row r="10" spans="1:7">
      <c r="A10" s="7" t="s">
        <v>328</v>
      </c>
      <c r="B10" t="s">
        <v>336</v>
      </c>
      <c r="C10" s="4">
        <v>45741</v>
      </c>
      <c r="D10" s="2">
        <v>51000</v>
      </c>
      <c r="E10" t="s">
        <v>329</v>
      </c>
      <c r="F10" s="1" t="s">
        <v>8</v>
      </c>
    </row>
    <row r="11" spans="1:7">
      <c r="A11" s="7" t="s">
        <v>337</v>
      </c>
      <c r="B11" s="25" t="s">
        <v>338</v>
      </c>
      <c r="C11" s="4">
        <v>45771</v>
      </c>
      <c r="D11" s="22">
        <v>1198648.12</v>
      </c>
      <c r="E11" s="25" t="s">
        <v>338</v>
      </c>
      <c r="F11" s="1" t="s">
        <v>8</v>
      </c>
      <c r="G11" s="8" t="s">
        <v>339</v>
      </c>
    </row>
    <row r="12" spans="1:7">
      <c r="A12" s="7" t="s">
        <v>340</v>
      </c>
      <c r="B12" t="s">
        <v>341</v>
      </c>
      <c r="C12" s="4">
        <v>45807</v>
      </c>
      <c r="D12" s="2">
        <v>15120000</v>
      </c>
      <c r="E12" t="s">
        <v>342</v>
      </c>
      <c r="G12" s="8" t="s">
        <v>343</v>
      </c>
    </row>
    <row r="13" spans="1:7">
      <c r="A13" s="7" t="s">
        <v>328</v>
      </c>
      <c r="C13" s="4">
        <v>45791</v>
      </c>
      <c r="D13" s="2">
        <v>38000</v>
      </c>
      <c r="E13" t="s">
        <v>344</v>
      </c>
    </row>
    <row r="14" spans="1:7">
      <c r="B14" t="s">
        <v>345</v>
      </c>
      <c r="C14" s="4">
        <v>45828</v>
      </c>
      <c r="D14" s="2">
        <v>1796000</v>
      </c>
      <c r="E14" t="s">
        <v>334</v>
      </c>
    </row>
    <row r="15" spans="1:7">
      <c r="A15" s="7" t="s">
        <v>163</v>
      </c>
      <c r="B15" t="s">
        <v>346</v>
      </c>
      <c r="C15" s="4">
        <v>45826</v>
      </c>
      <c r="D15" s="2">
        <v>59000</v>
      </c>
      <c r="E15" t="s">
        <v>329</v>
      </c>
    </row>
    <row r="16" spans="1:7">
      <c r="A16" s="7" t="s">
        <v>347</v>
      </c>
      <c r="B16" t="s">
        <v>348</v>
      </c>
      <c r="C16" s="4">
        <v>45848</v>
      </c>
      <c r="D16" s="2">
        <v>782712</v>
      </c>
      <c r="E16" t="s">
        <v>349</v>
      </c>
    </row>
    <row r="17" spans="1:5">
      <c r="A17" s="7" t="s">
        <v>340</v>
      </c>
      <c r="B17" s="2" t="s">
        <v>350</v>
      </c>
      <c r="C17" s="4">
        <v>45929</v>
      </c>
      <c r="D17" s="2">
        <v>3780000</v>
      </c>
      <c r="E17" t="s">
        <v>342</v>
      </c>
    </row>
    <row r="18" spans="1:5">
      <c r="A18" s="7" t="s">
        <v>351</v>
      </c>
      <c r="B18" t="s">
        <v>352</v>
      </c>
      <c r="C18" s="4">
        <v>45930</v>
      </c>
      <c r="D18" s="2">
        <v>400000</v>
      </c>
      <c r="E18" t="s">
        <v>334</v>
      </c>
    </row>
    <row r="19" spans="1:5">
      <c r="A19" s="7" t="s">
        <v>163</v>
      </c>
      <c r="B19" t="s">
        <v>164</v>
      </c>
      <c r="C19" s="4">
        <v>46006</v>
      </c>
      <c r="D19" s="2">
        <v>130666.71</v>
      </c>
      <c r="E19" t="s">
        <v>164</v>
      </c>
    </row>
    <row r="20" spans="1:5">
      <c r="A20" s="7" t="s">
        <v>163</v>
      </c>
      <c r="B20" t="s">
        <v>164</v>
      </c>
      <c r="C20" s="4">
        <v>46006</v>
      </c>
      <c r="D20" s="2">
        <v>161000</v>
      </c>
      <c r="E20" t="s">
        <v>164</v>
      </c>
    </row>
    <row r="21" spans="1:5">
      <c r="C21" s="11"/>
    </row>
    <row r="24" spans="1:5">
      <c r="C24" s="1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9"/>
  <sheetViews>
    <sheetView topLeftCell="A129" workbookViewId="0">
      <selection activeCell="E159" sqref="E159"/>
    </sheetView>
  </sheetViews>
  <sheetFormatPr defaultColWidth="9.16071428571429" defaultRowHeight="17.6" outlineLevelCol="6"/>
  <cols>
    <col min="1" max="1" width="34.5178571428571" style="19" customWidth="1"/>
    <col min="2" max="2" width="20" customWidth="1"/>
    <col min="3" max="3" width="12" customWidth="1"/>
    <col min="4" max="4" width="14.6607142857143" style="2" customWidth="1"/>
    <col min="6" max="6" width="8.5" style="1" customWidth="1"/>
    <col min="7" max="7" width="12.3303571428571" style="8" customWidth="1"/>
  </cols>
  <sheetData>
    <row r="1" s="1" customFormat="1" spans="1:7">
      <c r="A1" s="19" t="s">
        <v>235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C2" s="4">
        <v>45604</v>
      </c>
      <c r="D2" s="39">
        <v>30204.04</v>
      </c>
      <c r="E2" t="s">
        <v>353</v>
      </c>
      <c r="F2" s="1" t="s">
        <v>8</v>
      </c>
    </row>
    <row r="3" spans="1:7">
      <c r="C3" s="4">
        <v>45604</v>
      </c>
      <c r="D3" s="39">
        <v>28480</v>
      </c>
      <c r="E3" t="s">
        <v>354</v>
      </c>
      <c r="F3" s="1" t="s">
        <v>8</v>
      </c>
    </row>
    <row r="4" spans="1:7">
      <c r="C4" s="4">
        <v>45621</v>
      </c>
      <c r="D4" s="39">
        <v>30323.81</v>
      </c>
      <c r="E4" t="s">
        <v>353</v>
      </c>
      <c r="F4" s="1" t="s">
        <v>8</v>
      </c>
    </row>
    <row r="5" spans="1:7">
      <c r="A5" s="40" t="s">
        <v>127</v>
      </c>
      <c r="C5" s="4">
        <v>45621</v>
      </c>
      <c r="D5" s="39">
        <v>21555</v>
      </c>
      <c r="E5" t="s">
        <v>355</v>
      </c>
      <c r="F5" s="1" t="s">
        <v>8</v>
      </c>
    </row>
    <row r="6" spans="1:7">
      <c r="C6" s="4">
        <v>45636</v>
      </c>
      <c r="D6" s="39">
        <v>186218.33</v>
      </c>
      <c r="E6" t="s">
        <v>353</v>
      </c>
      <c r="F6" s="1" t="s">
        <v>8</v>
      </c>
    </row>
    <row r="7" spans="1:7">
      <c r="C7" s="4">
        <v>45636</v>
      </c>
      <c r="D7" s="39">
        <v>117970.44</v>
      </c>
      <c r="E7" t="s">
        <v>356</v>
      </c>
      <c r="F7" s="1" t="s">
        <v>8</v>
      </c>
    </row>
    <row r="8" spans="1:7">
      <c r="A8" s="40" t="s">
        <v>127</v>
      </c>
      <c r="C8" s="4">
        <v>45651</v>
      </c>
      <c r="D8" s="39">
        <v>38582</v>
      </c>
      <c r="E8" t="s">
        <v>355</v>
      </c>
      <c r="F8" s="1" t="s">
        <v>8</v>
      </c>
    </row>
    <row r="9" spans="1:7">
      <c r="C9" s="4">
        <v>45651</v>
      </c>
      <c r="D9" s="39">
        <v>151769.1</v>
      </c>
      <c r="E9" t="s">
        <v>353</v>
      </c>
      <c r="F9" s="1" t="s">
        <v>8</v>
      </c>
    </row>
    <row r="10" spans="1:7">
      <c r="C10" s="4">
        <v>45667</v>
      </c>
      <c r="D10" s="39">
        <v>7391</v>
      </c>
      <c r="E10" t="s">
        <v>354</v>
      </c>
      <c r="F10" s="1" t="s">
        <v>8</v>
      </c>
    </row>
    <row r="11" spans="1:7">
      <c r="C11" s="4">
        <v>45667</v>
      </c>
      <c r="D11" s="39">
        <v>239567.62</v>
      </c>
      <c r="E11" t="s">
        <v>356</v>
      </c>
      <c r="F11" s="1" t="s">
        <v>8</v>
      </c>
    </row>
    <row r="12" spans="1:7">
      <c r="C12" s="4">
        <v>45667</v>
      </c>
      <c r="D12" s="39">
        <v>342380.6</v>
      </c>
      <c r="E12" t="s">
        <v>353</v>
      </c>
      <c r="F12" s="1" t="s">
        <v>8</v>
      </c>
    </row>
    <row r="13" spans="1:7">
      <c r="A13" s="40" t="s">
        <v>127</v>
      </c>
      <c r="C13" s="4">
        <v>45681</v>
      </c>
      <c r="D13" s="39">
        <v>42412</v>
      </c>
      <c r="E13" t="s">
        <v>355</v>
      </c>
      <c r="F13" s="1" t="s">
        <v>8</v>
      </c>
    </row>
    <row r="14" spans="1:7">
      <c r="C14" s="4">
        <v>45681</v>
      </c>
      <c r="D14" s="39">
        <v>198356.36</v>
      </c>
      <c r="E14" t="s">
        <v>353</v>
      </c>
      <c r="F14" s="1" t="s">
        <v>8</v>
      </c>
    </row>
    <row r="15" spans="1:7">
      <c r="C15" s="4">
        <v>45698</v>
      </c>
      <c r="D15" s="39">
        <v>390822.88</v>
      </c>
      <c r="E15" t="s">
        <v>356</v>
      </c>
      <c r="F15" s="1" t="s">
        <v>8</v>
      </c>
    </row>
    <row r="16" spans="1:7">
      <c r="C16" s="4">
        <v>45698</v>
      </c>
      <c r="D16" s="39">
        <v>959527.42</v>
      </c>
      <c r="E16" t="s">
        <v>353</v>
      </c>
      <c r="F16" s="1" t="s">
        <v>8</v>
      </c>
    </row>
    <row r="17" spans="1:7">
      <c r="C17" s="4">
        <v>45698</v>
      </c>
      <c r="D17" s="39">
        <v>14312</v>
      </c>
      <c r="E17" t="s">
        <v>354</v>
      </c>
      <c r="F17" s="1" t="s">
        <v>8</v>
      </c>
    </row>
    <row r="18" spans="1:7">
      <c r="A18" s="40" t="s">
        <v>127</v>
      </c>
      <c r="C18" s="4">
        <v>45698</v>
      </c>
      <c r="D18" s="39">
        <v>167007</v>
      </c>
      <c r="E18" t="s">
        <v>355</v>
      </c>
      <c r="F18" s="1" t="s">
        <v>8</v>
      </c>
    </row>
    <row r="19" spans="1:7">
      <c r="C19" s="4">
        <v>45713</v>
      </c>
      <c r="D19" s="39">
        <v>759787.25</v>
      </c>
      <c r="E19" t="s">
        <v>353</v>
      </c>
      <c r="F19" s="1" t="s">
        <v>8</v>
      </c>
    </row>
    <row r="20" spans="1:7">
      <c r="A20" s="40" t="s">
        <v>127</v>
      </c>
      <c r="C20" s="4">
        <v>45713</v>
      </c>
      <c r="D20" s="39">
        <v>132219</v>
      </c>
      <c r="E20" t="s">
        <v>355</v>
      </c>
      <c r="F20" s="1" t="s">
        <v>8</v>
      </c>
    </row>
    <row r="21" spans="1:7">
      <c r="A21" s="19" t="s">
        <v>357</v>
      </c>
      <c r="B21" t="s">
        <v>358</v>
      </c>
      <c r="C21" s="4">
        <v>45722</v>
      </c>
      <c r="D21" s="2">
        <v>317741.61</v>
      </c>
      <c r="E21" t="s">
        <v>353</v>
      </c>
      <c r="F21" s="1" t="s">
        <v>8</v>
      </c>
      <c r="G21" s="8">
        <v>173</v>
      </c>
    </row>
    <row r="22" spans="1:7">
      <c r="A22" s="40" t="s">
        <v>127</v>
      </c>
      <c r="B22" t="s">
        <v>359</v>
      </c>
      <c r="C22" s="4">
        <v>45722</v>
      </c>
      <c r="D22" s="2">
        <v>12034</v>
      </c>
      <c r="E22" t="s">
        <v>355</v>
      </c>
      <c r="F22" s="1" t="s">
        <v>8</v>
      </c>
      <c r="G22" s="8">
        <v>174</v>
      </c>
    </row>
    <row r="23" spans="1:7">
      <c r="C23" s="4">
        <v>45726</v>
      </c>
      <c r="D23" s="2">
        <v>1309370.07</v>
      </c>
      <c r="E23" t="s">
        <v>353</v>
      </c>
      <c r="F23" s="1" t="s">
        <v>8</v>
      </c>
    </row>
    <row r="24" spans="1:7">
      <c r="A24" s="40" t="s">
        <v>127</v>
      </c>
      <c r="C24" s="4">
        <v>45726</v>
      </c>
      <c r="D24" s="2">
        <v>211354</v>
      </c>
      <c r="E24" t="s">
        <v>355</v>
      </c>
      <c r="F24" s="1" t="s">
        <v>8</v>
      </c>
      <c r="G24" s="8" t="s">
        <v>360</v>
      </c>
    </row>
    <row r="25" spans="1:7">
      <c r="C25" s="4">
        <v>45726</v>
      </c>
      <c r="D25" s="2">
        <v>709382.07</v>
      </c>
      <c r="E25" t="s">
        <v>356</v>
      </c>
      <c r="F25" s="1" t="s">
        <v>8</v>
      </c>
      <c r="G25" s="8" t="s">
        <v>361</v>
      </c>
    </row>
    <row r="26" spans="1:7">
      <c r="C26" s="4">
        <v>45726</v>
      </c>
      <c r="D26" s="2">
        <v>23868.96</v>
      </c>
      <c r="E26" t="s">
        <v>354</v>
      </c>
      <c r="F26" s="1" t="s">
        <v>8</v>
      </c>
      <c r="G26" s="8" t="s">
        <v>362</v>
      </c>
    </row>
    <row r="27" spans="1:7">
      <c r="C27" s="4">
        <v>45741</v>
      </c>
      <c r="D27" s="2">
        <v>1339448.31</v>
      </c>
      <c r="E27" t="s">
        <v>353</v>
      </c>
      <c r="F27" s="1" t="s">
        <v>8</v>
      </c>
    </row>
    <row r="28" spans="1:7">
      <c r="A28" s="40" t="s">
        <v>127</v>
      </c>
      <c r="C28" s="4">
        <v>45741</v>
      </c>
      <c r="D28" s="2">
        <v>200771</v>
      </c>
      <c r="E28" t="s">
        <v>355</v>
      </c>
      <c r="F28" s="1" t="s">
        <v>8</v>
      </c>
    </row>
    <row r="29" spans="1:7">
      <c r="A29" s="40" t="s">
        <v>363</v>
      </c>
      <c r="C29" s="4">
        <v>45757</v>
      </c>
      <c r="D29" s="2">
        <v>1266068.77</v>
      </c>
      <c r="E29" t="s">
        <v>356</v>
      </c>
      <c r="F29" s="1" t="s">
        <v>8</v>
      </c>
      <c r="G29" s="8" t="s">
        <v>364</v>
      </c>
    </row>
    <row r="30" spans="1:7">
      <c r="C30" s="4">
        <v>45757</v>
      </c>
      <c r="D30" s="2">
        <v>2232064.02</v>
      </c>
      <c r="E30" t="s">
        <v>353</v>
      </c>
      <c r="F30" s="1" t="s">
        <v>8</v>
      </c>
      <c r="G30" s="8" t="s">
        <v>365</v>
      </c>
    </row>
    <row r="31" spans="1:7">
      <c r="A31" s="40" t="s">
        <v>127</v>
      </c>
      <c r="C31" s="4">
        <v>45772</v>
      </c>
      <c r="D31" s="2">
        <v>349906</v>
      </c>
      <c r="E31" t="s">
        <v>355</v>
      </c>
      <c r="F31" s="1" t="s">
        <v>8</v>
      </c>
      <c r="G31" s="8" t="s">
        <v>366</v>
      </c>
    </row>
    <row r="32" spans="1:7">
      <c r="C32" s="4">
        <v>45772</v>
      </c>
      <c r="D32" s="2">
        <f>1579227.26-125063</f>
        <v>1454164.26</v>
      </c>
      <c r="E32" t="s">
        <v>353</v>
      </c>
      <c r="F32" s="1" t="s">
        <v>8</v>
      </c>
      <c r="G32" s="8" t="s">
        <v>367</v>
      </c>
    </row>
    <row r="33" spans="1:7">
      <c r="C33" s="4">
        <v>45808</v>
      </c>
      <c r="D33" s="2">
        <v>3407906.27</v>
      </c>
      <c r="E33" t="s">
        <v>353</v>
      </c>
      <c r="G33" s="8" t="s">
        <v>368</v>
      </c>
    </row>
    <row r="34" spans="1:7">
      <c r="A34" s="40" t="s">
        <v>127</v>
      </c>
      <c r="C34" s="4">
        <v>45808</v>
      </c>
      <c r="D34" s="2">
        <v>516291</v>
      </c>
      <c r="E34" t="s">
        <v>355</v>
      </c>
      <c r="G34" s="8" t="s">
        <v>368</v>
      </c>
    </row>
    <row r="35" spans="1:7">
      <c r="C35" s="4">
        <v>45808</v>
      </c>
      <c r="D35" s="2">
        <v>1079608.93</v>
      </c>
      <c r="E35" t="s">
        <v>356</v>
      </c>
      <c r="G35" s="8" t="s">
        <v>368</v>
      </c>
    </row>
    <row r="36" spans="1:7">
      <c r="C36" s="4">
        <v>45818</v>
      </c>
      <c r="D36" s="2">
        <v>772263.35</v>
      </c>
      <c r="E36" t="s">
        <v>353</v>
      </c>
      <c r="G36" s="8" t="s">
        <v>368</v>
      </c>
    </row>
    <row r="37" spans="1:7">
      <c r="C37" s="4">
        <v>45818</v>
      </c>
      <c r="D37" s="2">
        <v>1363592</v>
      </c>
      <c r="E37" t="s">
        <v>353</v>
      </c>
      <c r="G37" s="8" t="s">
        <v>368</v>
      </c>
    </row>
    <row r="38" spans="1:7">
      <c r="C38" s="4">
        <v>45833</v>
      </c>
      <c r="D38" s="2">
        <v>1842714.93</v>
      </c>
      <c r="E38" t="s">
        <v>353</v>
      </c>
      <c r="G38" s="8" t="s">
        <v>368</v>
      </c>
    </row>
    <row r="39" spans="1:7">
      <c r="A39" s="41" t="s">
        <v>363</v>
      </c>
      <c r="C39" s="4">
        <v>45813</v>
      </c>
      <c r="D39" s="2">
        <v>293401</v>
      </c>
      <c r="E39" t="s">
        <v>355</v>
      </c>
    </row>
    <row r="40" spans="1:7">
      <c r="A40" s="41" t="s">
        <v>363</v>
      </c>
      <c r="C40" s="4">
        <v>45826</v>
      </c>
      <c r="D40" s="2">
        <v>1349231.07</v>
      </c>
      <c r="E40" t="s">
        <v>356</v>
      </c>
    </row>
    <row r="41" spans="1:7">
      <c r="A41" s="41" t="s">
        <v>363</v>
      </c>
      <c r="C41" s="4">
        <v>45835</v>
      </c>
      <c r="D41" s="2">
        <v>525738</v>
      </c>
      <c r="E41" t="s">
        <v>355</v>
      </c>
    </row>
    <row r="42" spans="1:7">
      <c r="B42" t="s">
        <v>369</v>
      </c>
      <c r="C42" s="4">
        <v>45840</v>
      </c>
      <c r="D42" s="2">
        <v>153472.11</v>
      </c>
      <c r="E42" t="s">
        <v>353</v>
      </c>
    </row>
    <row r="43" spans="1:7">
      <c r="C43" s="4">
        <v>45845</v>
      </c>
      <c r="D43" s="2">
        <v>408690</v>
      </c>
      <c r="E43" t="s">
        <v>355</v>
      </c>
    </row>
    <row r="44" spans="1:7">
      <c r="C44" s="4">
        <v>45848</v>
      </c>
      <c r="D44" s="2">
        <v>70554.26</v>
      </c>
      <c r="E44" t="s">
        <v>354</v>
      </c>
    </row>
    <row r="45" spans="1:7">
      <c r="C45" s="4">
        <v>45848</v>
      </c>
      <c r="D45" s="2">
        <v>1665402.4</v>
      </c>
      <c r="E45" t="s">
        <v>356</v>
      </c>
    </row>
    <row r="46" spans="1:7">
      <c r="C46" s="4">
        <v>45848</v>
      </c>
      <c r="D46" s="2">
        <v>2838476.28</v>
      </c>
      <c r="E46" t="s">
        <v>353</v>
      </c>
    </row>
    <row r="47" spans="1:7">
      <c r="C47" s="4">
        <v>45849</v>
      </c>
      <c r="D47" s="2">
        <v>9741.04</v>
      </c>
      <c r="E47" t="s">
        <v>353</v>
      </c>
    </row>
    <row r="48" spans="1:7">
      <c r="C48" s="4">
        <v>45855</v>
      </c>
      <c r="D48" s="2">
        <v>19547.11</v>
      </c>
      <c r="E48" t="s">
        <v>353</v>
      </c>
    </row>
    <row r="49" spans="1:5">
      <c r="A49" s="19" t="s">
        <v>370</v>
      </c>
      <c r="C49" s="4">
        <v>45863</v>
      </c>
      <c r="D49" s="2">
        <v>1633006.52</v>
      </c>
      <c r="E49" t="s">
        <v>353</v>
      </c>
    </row>
    <row r="50" spans="1:5">
      <c r="A50" s="19" t="s">
        <v>370</v>
      </c>
      <c r="C50" s="4">
        <v>45863</v>
      </c>
      <c r="D50" s="2">
        <v>1709722.21</v>
      </c>
      <c r="E50" t="s">
        <v>353</v>
      </c>
    </row>
    <row r="51" spans="1:5">
      <c r="C51" s="4">
        <v>45863</v>
      </c>
      <c r="D51" s="2">
        <v>804707</v>
      </c>
      <c r="E51" t="s">
        <v>355</v>
      </c>
    </row>
    <row r="52" spans="1:5">
      <c r="B52" t="s">
        <v>371</v>
      </c>
      <c r="C52" s="4">
        <v>45873</v>
      </c>
      <c r="D52" s="2">
        <v>21584.4</v>
      </c>
      <c r="E52" t="s">
        <v>353</v>
      </c>
    </row>
    <row r="53" spans="1:5">
      <c r="B53" t="s">
        <v>371</v>
      </c>
      <c r="C53" s="4">
        <v>45873</v>
      </c>
      <c r="D53" s="2">
        <v>26535.67</v>
      </c>
      <c r="E53" t="s">
        <v>353</v>
      </c>
    </row>
    <row r="54" spans="1:5">
      <c r="B54" t="s">
        <v>372</v>
      </c>
      <c r="C54" s="4">
        <v>45873</v>
      </c>
      <c r="D54" s="2">
        <v>10169.76</v>
      </c>
      <c r="E54" t="s">
        <v>353</v>
      </c>
    </row>
    <row r="55" spans="1:5">
      <c r="C55" s="4">
        <v>45874</v>
      </c>
      <c r="D55" s="2">
        <v>687033</v>
      </c>
      <c r="E55" t="s">
        <v>355</v>
      </c>
    </row>
    <row r="56" spans="1:5">
      <c r="C56" s="4">
        <v>45877</v>
      </c>
      <c r="D56" s="2">
        <v>15660</v>
      </c>
      <c r="E56" t="s">
        <v>353</v>
      </c>
    </row>
    <row r="57" spans="1:5">
      <c r="C57" s="4">
        <v>45877</v>
      </c>
      <c r="D57" s="2">
        <v>74111.18</v>
      </c>
      <c r="E57" t="s">
        <v>353</v>
      </c>
    </row>
    <row r="58" spans="1:5">
      <c r="C58" s="4">
        <v>45877</v>
      </c>
      <c r="D58" s="2">
        <v>77815.45</v>
      </c>
      <c r="E58" t="s">
        <v>353</v>
      </c>
    </row>
    <row r="59" spans="1:5">
      <c r="C59" s="4">
        <v>45877</v>
      </c>
      <c r="D59" s="2">
        <v>88193.37</v>
      </c>
      <c r="E59" t="s">
        <v>353</v>
      </c>
    </row>
    <row r="60" spans="1:5">
      <c r="C60" s="4">
        <v>45877</v>
      </c>
      <c r="D60" s="2">
        <v>214724.25</v>
      </c>
      <c r="E60" t="s">
        <v>353</v>
      </c>
    </row>
    <row r="61" spans="1:5">
      <c r="C61" s="4">
        <v>45877</v>
      </c>
      <c r="D61" s="2">
        <v>1137763.47</v>
      </c>
      <c r="E61" t="s">
        <v>353</v>
      </c>
    </row>
    <row r="62" spans="1:5">
      <c r="C62" s="4">
        <v>45877</v>
      </c>
      <c r="D62" s="2">
        <v>1335859.18</v>
      </c>
      <c r="E62" t="s">
        <v>353</v>
      </c>
    </row>
    <row r="63" spans="1:5">
      <c r="C63" s="4">
        <v>45881</v>
      </c>
      <c r="D63" s="2">
        <v>133387.93</v>
      </c>
      <c r="E63" t="s">
        <v>354</v>
      </c>
    </row>
    <row r="64" spans="1:5">
      <c r="C64" s="4">
        <v>45881</v>
      </c>
      <c r="D64" s="2">
        <v>2299597.52</v>
      </c>
      <c r="E64" t="s">
        <v>356</v>
      </c>
    </row>
    <row r="65" spans="2:5">
      <c r="C65" s="4">
        <v>45880</v>
      </c>
      <c r="D65" s="2">
        <v>10044.71</v>
      </c>
      <c r="E65" t="s">
        <v>353</v>
      </c>
    </row>
    <row r="66" spans="2:5">
      <c r="C66" s="4">
        <v>45876</v>
      </c>
      <c r="D66" s="2">
        <v>80229.86</v>
      </c>
      <c r="E66" t="s">
        <v>353</v>
      </c>
    </row>
    <row r="67" spans="2:5">
      <c r="C67" s="4">
        <v>45881</v>
      </c>
      <c r="D67" s="2">
        <v>17076.24</v>
      </c>
      <c r="E67" t="s">
        <v>353</v>
      </c>
    </row>
    <row r="68" spans="2:5">
      <c r="B68" t="s">
        <v>373</v>
      </c>
      <c r="C68" s="4">
        <v>45884</v>
      </c>
      <c r="D68" s="2">
        <v>16000</v>
      </c>
      <c r="E68" t="s">
        <v>353</v>
      </c>
    </row>
    <row r="69" spans="2:5">
      <c r="B69" t="s">
        <v>374</v>
      </c>
      <c r="C69" s="4">
        <v>45884</v>
      </c>
      <c r="D69" s="2">
        <v>57607.1</v>
      </c>
      <c r="E69" t="s">
        <v>353</v>
      </c>
    </row>
    <row r="70" spans="2:5">
      <c r="B70" t="s">
        <v>375</v>
      </c>
      <c r="C70" s="4">
        <v>45888</v>
      </c>
      <c r="D70" s="2">
        <v>14611.06</v>
      </c>
      <c r="E70" t="s">
        <v>353</v>
      </c>
    </row>
    <row r="71" spans="2:5">
      <c r="B71" t="s">
        <v>375</v>
      </c>
      <c r="C71" s="4">
        <v>45888</v>
      </c>
      <c r="D71" s="2">
        <v>106487.56</v>
      </c>
      <c r="E71" t="s">
        <v>353</v>
      </c>
    </row>
    <row r="72" spans="2:5">
      <c r="B72" t="s">
        <v>376</v>
      </c>
      <c r="C72" s="4">
        <v>45889</v>
      </c>
      <c r="D72" s="2">
        <v>1472476</v>
      </c>
      <c r="E72" t="s">
        <v>355</v>
      </c>
    </row>
    <row r="73" spans="2:5">
      <c r="C73" s="4">
        <v>45894</v>
      </c>
      <c r="D73" s="2">
        <v>4168.67</v>
      </c>
      <c r="E73" t="s">
        <v>353</v>
      </c>
    </row>
    <row r="74" spans="2:5">
      <c r="C74" s="4">
        <v>45894</v>
      </c>
      <c r="D74" s="2">
        <v>9619.69</v>
      </c>
      <c r="E74" t="s">
        <v>353</v>
      </c>
    </row>
    <row r="75" spans="2:5">
      <c r="C75" s="4">
        <v>45894</v>
      </c>
      <c r="D75" s="2">
        <v>10581.96</v>
      </c>
      <c r="E75" t="s">
        <v>353</v>
      </c>
    </row>
    <row r="76" spans="2:5">
      <c r="C76" s="4">
        <v>45894</v>
      </c>
      <c r="D76" s="2">
        <v>47166.29</v>
      </c>
      <c r="E76" t="s">
        <v>353</v>
      </c>
    </row>
    <row r="77" spans="2:5">
      <c r="C77" s="4">
        <v>45894</v>
      </c>
      <c r="D77" s="2">
        <v>53360.33</v>
      </c>
      <c r="E77" t="s">
        <v>353</v>
      </c>
    </row>
    <row r="78" spans="2:5">
      <c r="C78" s="4">
        <v>45894</v>
      </c>
      <c r="D78" s="2">
        <v>75038</v>
      </c>
      <c r="E78" t="s">
        <v>353</v>
      </c>
    </row>
    <row r="79" spans="2:5">
      <c r="C79" s="4">
        <v>45894</v>
      </c>
      <c r="D79" s="2">
        <v>85042</v>
      </c>
      <c r="E79" t="s">
        <v>353</v>
      </c>
    </row>
    <row r="80" spans="2:5">
      <c r="C80" s="4">
        <v>45894</v>
      </c>
      <c r="D80" s="2">
        <v>100050</v>
      </c>
      <c r="E80" t="s">
        <v>353</v>
      </c>
    </row>
    <row r="81" spans="1:5">
      <c r="C81" s="4">
        <v>45894</v>
      </c>
      <c r="D81" s="2">
        <v>207433.91</v>
      </c>
      <c r="E81" t="s">
        <v>353</v>
      </c>
    </row>
    <row r="82" spans="1:5">
      <c r="C82" s="4">
        <v>45894</v>
      </c>
      <c r="D82" s="2">
        <v>1284881.43</v>
      </c>
      <c r="E82" t="s">
        <v>353</v>
      </c>
    </row>
    <row r="83" spans="1:5">
      <c r="C83" s="4">
        <v>45894</v>
      </c>
      <c r="D83" s="2">
        <v>1338641.32</v>
      </c>
      <c r="E83" t="s">
        <v>353</v>
      </c>
    </row>
    <row r="84" spans="1:5">
      <c r="C84" s="4">
        <v>45894</v>
      </c>
      <c r="D84" s="2">
        <v>6542.23</v>
      </c>
      <c r="E84" t="s">
        <v>353</v>
      </c>
    </row>
    <row r="85" spans="1:5">
      <c r="A85" s="19" t="s">
        <v>377</v>
      </c>
      <c r="B85" t="s">
        <v>378</v>
      </c>
      <c r="C85" s="4">
        <v>45904</v>
      </c>
      <c r="D85" s="2">
        <v>258287.79</v>
      </c>
      <c r="E85" t="s">
        <v>353</v>
      </c>
    </row>
    <row r="86" spans="1:5">
      <c r="A86" s="19" t="s">
        <v>379</v>
      </c>
      <c r="B86" t="s">
        <v>380</v>
      </c>
      <c r="C86" s="4">
        <v>45910</v>
      </c>
      <c r="D86" s="2">
        <v>3527.49</v>
      </c>
      <c r="E86" t="s">
        <v>353</v>
      </c>
    </row>
    <row r="87" spans="1:5">
      <c r="A87" s="19" t="s">
        <v>381</v>
      </c>
      <c r="C87" s="4">
        <v>45910</v>
      </c>
      <c r="D87" s="2">
        <v>25013</v>
      </c>
      <c r="E87" t="s">
        <v>353</v>
      </c>
    </row>
    <row r="88" spans="1:5">
      <c r="A88" s="19" t="s">
        <v>382</v>
      </c>
      <c r="C88" s="4">
        <v>45910</v>
      </c>
      <c r="D88" s="2">
        <v>27514</v>
      </c>
      <c r="E88" t="s">
        <v>353</v>
      </c>
    </row>
    <row r="89" spans="1:5">
      <c r="A89" s="19" t="s">
        <v>383</v>
      </c>
      <c r="C89" s="4">
        <v>45910</v>
      </c>
      <c r="D89" s="2">
        <v>66699.67</v>
      </c>
      <c r="E89" t="s">
        <v>353</v>
      </c>
    </row>
    <row r="90" spans="1:5">
      <c r="A90" s="19" t="s">
        <v>384</v>
      </c>
      <c r="C90" s="4">
        <v>45910</v>
      </c>
      <c r="D90" s="2">
        <v>98200.2</v>
      </c>
      <c r="E90" t="s">
        <v>353</v>
      </c>
    </row>
    <row r="91" spans="1:5">
      <c r="A91" s="19" t="s">
        <v>385</v>
      </c>
      <c r="C91" s="4">
        <v>45910</v>
      </c>
      <c r="D91" s="2">
        <v>102878.7</v>
      </c>
      <c r="E91" t="s">
        <v>353</v>
      </c>
    </row>
    <row r="92" spans="1:5">
      <c r="A92" s="19" t="s">
        <v>386</v>
      </c>
      <c r="C92" s="4">
        <v>45910</v>
      </c>
      <c r="D92" s="2">
        <v>139343.2</v>
      </c>
      <c r="E92" t="s">
        <v>353</v>
      </c>
    </row>
    <row r="93" spans="1:5">
      <c r="A93" s="19" t="s">
        <v>387</v>
      </c>
      <c r="C93" s="4">
        <v>45910</v>
      </c>
      <c r="D93" s="2">
        <v>256526.34</v>
      </c>
      <c r="E93" t="s">
        <v>353</v>
      </c>
    </row>
    <row r="94" spans="1:5">
      <c r="A94" s="19" t="s">
        <v>387</v>
      </c>
      <c r="C94" s="4">
        <v>45910</v>
      </c>
      <c r="D94" s="2">
        <v>1265760.15</v>
      </c>
      <c r="E94" t="s">
        <v>353</v>
      </c>
    </row>
    <row r="95" spans="1:5">
      <c r="A95" s="19" t="s">
        <v>387</v>
      </c>
      <c r="C95" s="4">
        <v>45910</v>
      </c>
      <c r="D95" s="2">
        <v>1305529.54</v>
      </c>
      <c r="E95" t="s">
        <v>353</v>
      </c>
    </row>
    <row r="96" spans="1:5">
      <c r="A96" s="19" t="s">
        <v>127</v>
      </c>
      <c r="B96" t="s">
        <v>355</v>
      </c>
      <c r="C96" s="4">
        <v>45911</v>
      </c>
      <c r="D96" s="2">
        <v>1746919</v>
      </c>
      <c r="E96" t="s">
        <v>355</v>
      </c>
    </row>
    <row r="97" spans="1:7">
      <c r="A97" s="19" t="s">
        <v>387</v>
      </c>
      <c r="B97" t="s">
        <v>388</v>
      </c>
      <c r="C97" s="4">
        <v>45911</v>
      </c>
      <c r="D97" s="2">
        <v>66852.13</v>
      </c>
      <c r="E97" t="s">
        <v>353</v>
      </c>
    </row>
    <row r="98" spans="1:7">
      <c r="A98" s="19" t="s">
        <v>389</v>
      </c>
      <c r="B98" t="s">
        <v>390</v>
      </c>
      <c r="C98" s="4">
        <v>45912</v>
      </c>
      <c r="D98" s="2">
        <v>229710.87</v>
      </c>
      <c r="E98" t="s">
        <v>354</v>
      </c>
    </row>
    <row r="99" spans="1:7">
      <c r="A99" s="19" t="s">
        <v>127</v>
      </c>
      <c r="B99" t="s">
        <v>356</v>
      </c>
      <c r="C99" s="4">
        <v>45912</v>
      </c>
      <c r="D99" s="2">
        <v>3570105.96</v>
      </c>
      <c r="E99" t="s">
        <v>356</v>
      </c>
    </row>
    <row r="100" spans="1:7">
      <c r="A100" s="19" t="s">
        <v>387</v>
      </c>
      <c r="B100" t="s">
        <v>391</v>
      </c>
      <c r="C100" s="4">
        <v>45916</v>
      </c>
      <c r="D100" s="2">
        <v>56432.8</v>
      </c>
      <c r="E100" t="s">
        <v>353</v>
      </c>
    </row>
    <row r="101" spans="1:7">
      <c r="B101" t="s">
        <v>392</v>
      </c>
      <c r="C101" s="4">
        <v>45925</v>
      </c>
      <c r="D101" s="2">
        <v>3404767.97</v>
      </c>
      <c r="E101" t="s">
        <v>353</v>
      </c>
    </row>
    <row r="102" spans="1:7">
      <c r="B102" t="s">
        <v>393</v>
      </c>
      <c r="C102" s="4">
        <v>45925</v>
      </c>
      <c r="D102" s="2">
        <v>7047.09</v>
      </c>
      <c r="E102" t="s">
        <v>353</v>
      </c>
    </row>
    <row r="103" spans="1:7">
      <c r="B103" t="s">
        <v>394</v>
      </c>
      <c r="C103" s="4">
        <v>45925</v>
      </c>
      <c r="D103" s="2">
        <v>2337.28</v>
      </c>
      <c r="E103" t="s">
        <v>353</v>
      </c>
    </row>
    <row r="104" spans="1:7">
      <c r="A104" s="19" t="s">
        <v>127</v>
      </c>
      <c r="B104" t="s">
        <v>395</v>
      </c>
      <c r="C104" s="4">
        <v>45929</v>
      </c>
      <c r="D104" s="2">
        <v>2286561</v>
      </c>
      <c r="E104" t="s">
        <v>355</v>
      </c>
    </row>
    <row r="105" spans="1:7">
      <c r="A105" s="19" t="s">
        <v>387</v>
      </c>
      <c r="B105" t="s">
        <v>396</v>
      </c>
      <c r="C105" s="4">
        <v>45931</v>
      </c>
      <c r="D105" s="2">
        <v>42365.34</v>
      </c>
      <c r="E105" t="s">
        <v>353</v>
      </c>
    </row>
    <row r="106" customFormat="1" spans="1:7">
      <c r="A106" s="19" t="s">
        <v>127</v>
      </c>
      <c r="B106" t="s">
        <v>355</v>
      </c>
      <c r="C106" s="4">
        <v>45933</v>
      </c>
      <c r="D106" s="2">
        <v>2492900</v>
      </c>
      <c r="E106" t="s">
        <v>355</v>
      </c>
      <c r="F106" s="1"/>
      <c r="G106" s="1"/>
    </row>
    <row r="107" customFormat="1" spans="1:7">
      <c r="A107" s="1" t="s">
        <v>397</v>
      </c>
      <c r="B107" t="s">
        <v>398</v>
      </c>
      <c r="C107" s="4">
        <v>45933</v>
      </c>
      <c r="D107" s="2">
        <v>200009.79</v>
      </c>
      <c r="E107" t="s">
        <v>353</v>
      </c>
      <c r="F107" s="1"/>
      <c r="G107" s="8"/>
    </row>
    <row r="108" spans="1:7">
      <c r="A108" s="19" t="s">
        <v>382</v>
      </c>
      <c r="B108" t="s">
        <v>399</v>
      </c>
      <c r="C108" s="4">
        <v>45940</v>
      </c>
      <c r="D108" s="2">
        <v>16931.54</v>
      </c>
      <c r="E108" t="s">
        <v>353</v>
      </c>
    </row>
    <row r="109" spans="1:7">
      <c r="A109" s="19" t="s">
        <v>400</v>
      </c>
      <c r="C109" s="4">
        <v>45940</v>
      </c>
      <c r="D109" s="2">
        <v>33350</v>
      </c>
      <c r="E109" t="s">
        <v>353</v>
      </c>
    </row>
    <row r="110" spans="1:7">
      <c r="A110" s="19" t="s">
        <v>383</v>
      </c>
      <c r="C110" s="4">
        <v>45940</v>
      </c>
      <c r="D110" s="2">
        <v>70035</v>
      </c>
      <c r="E110" t="s">
        <v>353</v>
      </c>
    </row>
    <row r="111" spans="1:7">
      <c r="A111" s="19" t="s">
        <v>385</v>
      </c>
      <c r="C111" s="4">
        <v>45940</v>
      </c>
      <c r="D111" s="2">
        <v>104978</v>
      </c>
      <c r="E111" t="s">
        <v>353</v>
      </c>
    </row>
    <row r="112" spans="1:7">
      <c r="A112" s="19" t="s">
        <v>386</v>
      </c>
      <c r="C112" s="4">
        <v>45940</v>
      </c>
      <c r="D112" s="2">
        <v>110860.8</v>
      </c>
      <c r="E112" t="s">
        <v>353</v>
      </c>
    </row>
    <row r="113" spans="1:5">
      <c r="A113" s="19" t="s">
        <v>384</v>
      </c>
      <c r="C113" s="4">
        <v>45940</v>
      </c>
      <c r="D113" s="2">
        <v>129489.6</v>
      </c>
      <c r="E113" t="s">
        <v>353</v>
      </c>
    </row>
    <row r="114" spans="1:5">
      <c r="A114" s="19" t="s">
        <v>387</v>
      </c>
      <c r="C114" s="4">
        <v>45940</v>
      </c>
      <c r="D114" s="2">
        <v>203896.78</v>
      </c>
      <c r="E114" t="s">
        <v>353</v>
      </c>
    </row>
    <row r="115" spans="1:5">
      <c r="A115" s="19" t="s">
        <v>387</v>
      </c>
      <c r="C115" s="4">
        <v>45940</v>
      </c>
      <c r="D115" s="2">
        <v>1508848.53</v>
      </c>
      <c r="E115" t="s">
        <v>353</v>
      </c>
    </row>
    <row r="116" spans="1:5">
      <c r="A116" s="19" t="s">
        <v>387</v>
      </c>
      <c r="C116" s="4">
        <v>45940</v>
      </c>
      <c r="D116" s="2">
        <v>1673947.69</v>
      </c>
      <c r="E116" t="s">
        <v>353</v>
      </c>
    </row>
    <row r="117" spans="1:5">
      <c r="A117" s="19" t="s">
        <v>387</v>
      </c>
      <c r="B117" t="s">
        <v>396</v>
      </c>
      <c r="C117" s="4">
        <v>45940</v>
      </c>
      <c r="D117" s="2">
        <v>110390.5</v>
      </c>
      <c r="E117" t="s">
        <v>353</v>
      </c>
    </row>
    <row r="118" spans="1:5">
      <c r="A118" s="19" t="s">
        <v>387</v>
      </c>
      <c r="B118" t="s">
        <v>401</v>
      </c>
      <c r="C118" s="4">
        <v>45943</v>
      </c>
      <c r="D118" s="2">
        <v>2172.35</v>
      </c>
      <c r="E118" t="s">
        <v>353</v>
      </c>
    </row>
    <row r="119" spans="1:5">
      <c r="A119" s="19" t="s">
        <v>387</v>
      </c>
      <c r="B119" t="s">
        <v>402</v>
      </c>
      <c r="C119" s="4">
        <v>45943</v>
      </c>
      <c r="D119" s="2">
        <v>2172.35</v>
      </c>
      <c r="E119" t="s">
        <v>353</v>
      </c>
    </row>
    <row r="120" spans="1:5">
      <c r="A120" s="19" t="s">
        <v>387</v>
      </c>
      <c r="B120" t="s">
        <v>403</v>
      </c>
      <c r="C120" s="4">
        <v>45943</v>
      </c>
      <c r="D120" s="2">
        <v>11038.76</v>
      </c>
      <c r="E120" t="s">
        <v>353</v>
      </c>
    </row>
    <row r="121" spans="1:5">
      <c r="A121" s="19" t="s">
        <v>387</v>
      </c>
      <c r="B121" t="s">
        <v>404</v>
      </c>
      <c r="C121" s="4">
        <v>45944</v>
      </c>
      <c r="D121" s="2">
        <v>24328.72</v>
      </c>
      <c r="E121" t="s">
        <v>353</v>
      </c>
    </row>
    <row r="122" spans="1:5">
      <c r="A122" s="19" t="s">
        <v>127</v>
      </c>
      <c r="B122" t="s">
        <v>405</v>
      </c>
      <c r="C122" s="4">
        <v>45944</v>
      </c>
      <c r="D122" s="2">
        <v>4542819.99</v>
      </c>
      <c r="E122" t="s">
        <v>356</v>
      </c>
    </row>
    <row r="123" spans="1:5">
      <c r="A123" s="19" t="s">
        <v>389</v>
      </c>
      <c r="B123" t="s">
        <v>406</v>
      </c>
      <c r="C123" s="4">
        <v>45944</v>
      </c>
      <c r="D123" s="2">
        <v>306761.06</v>
      </c>
      <c r="E123" t="s">
        <v>354</v>
      </c>
    </row>
    <row r="124" spans="1:5">
      <c r="A124" s="19" t="s">
        <v>387</v>
      </c>
      <c r="B124" t="s">
        <v>407</v>
      </c>
      <c r="C124" s="4">
        <v>45944</v>
      </c>
      <c r="D124" s="2">
        <v>6820.9</v>
      </c>
      <c r="E124" t="s">
        <v>353</v>
      </c>
    </row>
    <row r="125" spans="1:5">
      <c r="A125" s="19" t="s">
        <v>387</v>
      </c>
      <c r="B125" t="s">
        <v>374</v>
      </c>
      <c r="C125" s="4">
        <v>45946</v>
      </c>
      <c r="D125" s="2">
        <v>19412.83</v>
      </c>
      <c r="E125" t="s">
        <v>353</v>
      </c>
    </row>
    <row r="126" spans="1:5">
      <c r="A126" s="19" t="s">
        <v>387</v>
      </c>
      <c r="B126" t="s">
        <v>408</v>
      </c>
      <c r="C126" s="4">
        <v>45951</v>
      </c>
      <c r="D126" s="2">
        <v>5421.51</v>
      </c>
      <c r="E126" t="s">
        <v>353</v>
      </c>
    </row>
    <row r="127" spans="1:5">
      <c r="B127" t="s">
        <v>409</v>
      </c>
      <c r="C127" s="4">
        <v>45954</v>
      </c>
      <c r="D127" s="2">
        <v>3440823.98</v>
      </c>
      <c r="E127" t="s">
        <v>353</v>
      </c>
    </row>
    <row r="128" spans="1:5">
      <c r="A128" s="19" t="s">
        <v>127</v>
      </c>
      <c r="B128" t="s">
        <v>410</v>
      </c>
      <c r="C128" s="4">
        <v>45958</v>
      </c>
      <c r="D128" s="2">
        <v>3275507</v>
      </c>
      <c r="E128" t="s">
        <v>355</v>
      </c>
    </row>
    <row r="129" spans="1:5">
      <c r="B129" t="s">
        <v>393</v>
      </c>
      <c r="C129" s="4">
        <v>45962</v>
      </c>
      <c r="D129" s="2">
        <v>2214.24</v>
      </c>
      <c r="E129" t="s">
        <v>353</v>
      </c>
    </row>
    <row r="130" spans="1:5">
      <c r="B130" t="s">
        <v>411</v>
      </c>
      <c r="C130" s="4">
        <v>45962</v>
      </c>
      <c r="D130" s="2">
        <v>109380.63</v>
      </c>
      <c r="E130" t="s">
        <v>353</v>
      </c>
    </row>
    <row r="131" spans="1:5">
      <c r="A131" s="19" t="s">
        <v>387</v>
      </c>
      <c r="B131" t="s">
        <v>391</v>
      </c>
      <c r="C131" s="4">
        <v>45967</v>
      </c>
      <c r="D131" s="2">
        <v>70315.56</v>
      </c>
      <c r="E131" t="s">
        <v>353</v>
      </c>
    </row>
    <row r="132" spans="1:5">
      <c r="A132" s="19" t="s">
        <v>127</v>
      </c>
      <c r="B132" t="s">
        <v>412</v>
      </c>
      <c r="C132" s="4">
        <v>45967</v>
      </c>
      <c r="D132" s="2">
        <v>2964048</v>
      </c>
      <c r="E132" t="s">
        <v>353</v>
      </c>
    </row>
    <row r="133" spans="1:5">
      <c r="B133" t="s">
        <v>413</v>
      </c>
      <c r="C133" s="4">
        <v>45971</v>
      </c>
      <c r="D133" s="2">
        <v>3586503.2</v>
      </c>
      <c r="E133" t="s">
        <v>353</v>
      </c>
    </row>
    <row r="134" spans="1:5">
      <c r="B134" t="s">
        <v>414</v>
      </c>
      <c r="C134" s="4">
        <v>45971</v>
      </c>
      <c r="D134" s="2">
        <v>1222604.09</v>
      </c>
      <c r="E134" t="s">
        <v>353</v>
      </c>
    </row>
    <row r="135" spans="1:5">
      <c r="A135" s="19" t="s">
        <v>389</v>
      </c>
      <c r="B135" t="s">
        <v>354</v>
      </c>
      <c r="C135" s="4">
        <v>45974</v>
      </c>
      <c r="D135" s="2">
        <v>386143.25</v>
      </c>
      <c r="E135" t="s">
        <v>354</v>
      </c>
    </row>
    <row r="136" spans="1:5">
      <c r="A136" s="19" t="s">
        <v>127</v>
      </c>
      <c r="B136" t="s">
        <v>356</v>
      </c>
      <c r="C136" s="4">
        <v>45974</v>
      </c>
      <c r="D136" s="2">
        <v>5233019.81</v>
      </c>
      <c r="E136" t="s">
        <v>356</v>
      </c>
    </row>
    <row r="137" spans="1:5">
      <c r="A137" s="19" t="s">
        <v>387</v>
      </c>
      <c r="B137" t="s">
        <v>396</v>
      </c>
      <c r="C137" s="4">
        <v>45975</v>
      </c>
      <c r="D137" s="2">
        <v>12126.51</v>
      </c>
      <c r="E137" t="s">
        <v>353</v>
      </c>
    </row>
    <row r="138" spans="1:5">
      <c r="A138" s="19" t="s">
        <v>387</v>
      </c>
      <c r="C138" s="4">
        <v>45975</v>
      </c>
      <c r="D138" s="2">
        <v>140916.17</v>
      </c>
      <c r="E138" t="s">
        <v>353</v>
      </c>
    </row>
    <row r="139" spans="1:5">
      <c r="A139" s="19" t="s">
        <v>387</v>
      </c>
      <c r="C139" s="4">
        <v>45975</v>
      </c>
      <c r="D139" s="2">
        <v>143553.72</v>
      </c>
      <c r="E139" t="s">
        <v>353</v>
      </c>
    </row>
    <row r="140" spans="1:5">
      <c r="B140" s="19" t="s">
        <v>415</v>
      </c>
      <c r="C140" s="4">
        <v>45985</v>
      </c>
      <c r="D140" s="5">
        <v>5146.11</v>
      </c>
      <c r="E140" t="s">
        <v>353</v>
      </c>
    </row>
    <row r="141" spans="1:5">
      <c r="B141" s="19" t="s">
        <v>416</v>
      </c>
      <c r="C141" s="4">
        <v>45985</v>
      </c>
      <c r="D141" s="5">
        <v>115506.95</v>
      </c>
      <c r="E141" t="s">
        <v>353</v>
      </c>
    </row>
    <row r="142" spans="1:5">
      <c r="B142" t="s">
        <v>417</v>
      </c>
      <c r="C142" s="4">
        <v>45986</v>
      </c>
      <c r="D142" s="2">
        <v>5634487</v>
      </c>
      <c r="E142" t="s">
        <v>355</v>
      </c>
    </row>
    <row r="143" spans="1:5">
      <c r="B143" t="s">
        <v>418</v>
      </c>
      <c r="C143" s="4">
        <v>45986</v>
      </c>
      <c r="D143" s="2">
        <v>2934937.99</v>
      </c>
      <c r="E143" t="s">
        <v>353</v>
      </c>
    </row>
    <row r="144" spans="1:5">
      <c r="A144" s="19" t="s">
        <v>387</v>
      </c>
      <c r="B144" t="s">
        <v>419</v>
      </c>
      <c r="C144" s="4">
        <v>45987</v>
      </c>
      <c r="D144" s="2">
        <v>117647.89</v>
      </c>
      <c r="E144" t="s">
        <v>353</v>
      </c>
    </row>
    <row r="145" spans="1:5">
      <c r="A145" s="19" t="s">
        <v>384</v>
      </c>
      <c r="B145" t="s">
        <v>374</v>
      </c>
      <c r="C145" s="4">
        <v>45989</v>
      </c>
      <c r="D145" s="2">
        <v>2245.6</v>
      </c>
      <c r="E145" t="s">
        <v>353</v>
      </c>
    </row>
    <row r="146" spans="1:5">
      <c r="A146" s="19" t="s">
        <v>387</v>
      </c>
      <c r="B146" t="s">
        <v>374</v>
      </c>
      <c r="C146" s="4">
        <v>45989</v>
      </c>
      <c r="D146" s="2">
        <v>5960.92</v>
      </c>
      <c r="E146" t="s">
        <v>353</v>
      </c>
    </row>
    <row r="147" spans="1:5">
      <c r="B147" t="s">
        <v>420</v>
      </c>
      <c r="C147" s="4">
        <v>46021</v>
      </c>
      <c r="D147" s="2">
        <v>3666376.3</v>
      </c>
      <c r="E147" t="s">
        <v>353</v>
      </c>
    </row>
    <row r="148" spans="1:5">
      <c r="B148" t="s">
        <v>421</v>
      </c>
      <c r="C148" s="4">
        <v>46016</v>
      </c>
      <c r="D148" s="2">
        <v>2834676.03</v>
      </c>
      <c r="E148" t="s">
        <v>353</v>
      </c>
    </row>
    <row r="149" spans="1:5">
      <c r="A149" s="19" t="s">
        <v>387</v>
      </c>
      <c r="B149" t="s">
        <v>419</v>
      </c>
      <c r="C149" s="4">
        <v>46009</v>
      </c>
      <c r="D149" s="2">
        <v>71282.77</v>
      </c>
      <c r="E149" t="s">
        <v>353</v>
      </c>
    </row>
    <row r="150" spans="1:5">
      <c r="A150" s="19" t="s">
        <v>387</v>
      </c>
      <c r="B150" t="s">
        <v>422</v>
      </c>
      <c r="C150" s="4">
        <v>46007</v>
      </c>
      <c r="D150" s="2">
        <v>16474.48</v>
      </c>
      <c r="E150" t="s">
        <v>353</v>
      </c>
    </row>
    <row r="151" spans="1:5">
      <c r="A151" s="19" t="s">
        <v>389</v>
      </c>
      <c r="B151" t="s">
        <v>406</v>
      </c>
      <c r="C151" s="4">
        <v>46006</v>
      </c>
      <c r="D151" s="2">
        <v>317894.74</v>
      </c>
      <c r="E151" t="s">
        <v>354</v>
      </c>
    </row>
    <row r="152" spans="1:5">
      <c r="A152" s="19" t="s">
        <v>127</v>
      </c>
      <c r="B152" t="s">
        <v>405</v>
      </c>
      <c r="C152" s="4">
        <v>46006</v>
      </c>
      <c r="D152" s="2">
        <v>3497468.96</v>
      </c>
      <c r="E152" t="s">
        <v>356</v>
      </c>
    </row>
    <row r="153" spans="1:5">
      <c r="A153" s="19" t="s">
        <v>387</v>
      </c>
      <c r="B153" t="s">
        <v>374</v>
      </c>
      <c r="C153" s="4">
        <v>46003</v>
      </c>
      <c r="D153" s="2">
        <v>2244.6</v>
      </c>
      <c r="E153" t="s">
        <v>353</v>
      </c>
    </row>
    <row r="154" spans="1:5">
      <c r="B154" t="s">
        <v>423</v>
      </c>
      <c r="C154" s="4">
        <v>46001</v>
      </c>
      <c r="D154" s="2">
        <v>2845058.18</v>
      </c>
      <c r="E154" t="s">
        <v>353</v>
      </c>
    </row>
    <row r="155" spans="1:5">
      <c r="A155" s="19" t="s">
        <v>387</v>
      </c>
      <c r="B155" t="s">
        <v>374</v>
      </c>
      <c r="C155" s="4">
        <v>45996</v>
      </c>
      <c r="D155" s="2">
        <v>2244.6</v>
      </c>
      <c r="E155" t="s">
        <v>353</v>
      </c>
    </row>
    <row r="156" spans="1:5">
      <c r="A156" s="19" t="s">
        <v>386</v>
      </c>
      <c r="B156" t="s">
        <v>374</v>
      </c>
      <c r="C156" s="4">
        <v>45992</v>
      </c>
      <c r="D156" s="2">
        <v>6230.54</v>
      </c>
      <c r="E156" t="s">
        <v>353</v>
      </c>
    </row>
    <row r="157" spans="1:5">
      <c r="A157" s="19" t="s">
        <v>387</v>
      </c>
      <c r="B157" t="s">
        <v>396</v>
      </c>
      <c r="C157" s="4">
        <v>45992</v>
      </c>
      <c r="D157" s="2">
        <v>68492.42</v>
      </c>
      <c r="E157" t="s">
        <v>353</v>
      </c>
    </row>
    <row r="158" spans="1:5">
      <c r="A158" s="19" t="s">
        <v>127</v>
      </c>
      <c r="B158" t="s">
        <v>424</v>
      </c>
      <c r="C158" s="4">
        <v>46017</v>
      </c>
      <c r="D158" s="2">
        <v>1490995</v>
      </c>
      <c r="E158" t="s">
        <v>355</v>
      </c>
    </row>
    <row r="159" spans="1:5">
      <c r="A159" s="19" t="s">
        <v>127</v>
      </c>
      <c r="B159" t="s">
        <v>425</v>
      </c>
      <c r="C159" s="4">
        <v>45996</v>
      </c>
      <c r="D159" s="2">
        <v>1945650</v>
      </c>
      <c r="E159" t="s">
        <v>355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D10" sqref="D10"/>
    </sheetView>
  </sheetViews>
  <sheetFormatPr defaultColWidth="9.16071428571429" defaultRowHeight="17.6" outlineLevelCol="6"/>
  <cols>
    <col min="1" max="1" width="12" customWidth="1"/>
    <col min="2" max="2" width="16" style="2" customWidth="1"/>
    <col min="3" max="3" width="14.3303571428571" style="7" customWidth="1"/>
    <col min="4" max="4" width="8.5" style="1" customWidth="1"/>
    <col min="5" max="5" width="8.5" style="8" customWidth="1"/>
    <col min="6" max="6" width="12.3303571428571" style="7" customWidth="1"/>
    <col min="7" max="7" width="28" customWidth="1"/>
  </cols>
  <sheetData>
    <row r="1" s="1" customFormat="1" ht="18" spans="1:7">
      <c r="A1" s="1" t="s">
        <v>2</v>
      </c>
      <c r="B1" s="3" t="s">
        <v>3</v>
      </c>
      <c r="C1" s="7" t="s">
        <v>263</v>
      </c>
      <c r="D1" s="1" t="s">
        <v>5</v>
      </c>
      <c r="E1" s="8" t="s">
        <v>6</v>
      </c>
      <c r="F1" s="7" t="s">
        <v>0</v>
      </c>
      <c r="G1" s="1" t="s">
        <v>1</v>
      </c>
    </row>
    <row r="2" spans="1:7">
      <c r="A2" s="4">
        <v>45712</v>
      </c>
      <c r="B2" s="2">
        <v>320000</v>
      </c>
      <c r="C2" s="7">
        <v>32000</v>
      </c>
      <c r="D2" s="1" t="s">
        <v>8</v>
      </c>
      <c r="E2" s="8" t="s">
        <v>426</v>
      </c>
      <c r="F2" s="7" t="s">
        <v>427</v>
      </c>
      <c r="G2" t="s">
        <v>428</v>
      </c>
    </row>
    <row r="3" spans="1:7">
      <c r="A3" s="4">
        <v>45734</v>
      </c>
      <c r="B3" s="2">
        <v>7969500</v>
      </c>
      <c r="C3" s="7">
        <v>31500</v>
      </c>
      <c r="D3" s="1" t="s">
        <v>8</v>
      </c>
      <c r="E3" s="8" t="s">
        <v>429</v>
      </c>
      <c r="F3" s="7" t="s">
        <v>427</v>
      </c>
      <c r="G3" t="s">
        <v>430</v>
      </c>
    </row>
    <row r="4" spans="1:7">
      <c r="A4" s="4">
        <v>45807</v>
      </c>
      <c r="B4" s="2">
        <v>6930000</v>
      </c>
      <c r="C4" s="7">
        <v>31500</v>
      </c>
      <c r="D4" s="1" t="s">
        <v>8</v>
      </c>
      <c r="E4" s="8" t="s">
        <v>431</v>
      </c>
      <c r="F4" s="7" t="s">
        <v>427</v>
      </c>
      <c r="G4" t="s">
        <v>432</v>
      </c>
    </row>
    <row r="5" spans="1:7">
      <c r="A5" s="4">
        <v>45825</v>
      </c>
      <c r="B5" s="2">
        <v>7654500</v>
      </c>
      <c r="C5" s="7">
        <v>31500</v>
      </c>
      <c r="F5" s="7" t="s">
        <v>427</v>
      </c>
      <c r="G5" t="s">
        <v>433</v>
      </c>
    </row>
    <row r="6" spans="1:7">
      <c r="A6" s="4">
        <v>46006</v>
      </c>
      <c r="B6" s="2">
        <v>2332500</v>
      </c>
      <c r="F6" s="4" t="s">
        <v>434</v>
      </c>
      <c r="G6" s="2" t="s">
        <v>435</v>
      </c>
    </row>
    <row r="7" spans="1:7">
      <c r="A7" s="4"/>
    </row>
    <row r="8" spans="1:7">
      <c r="A8" s="4"/>
    </row>
    <row r="10" spans="1:7">
      <c r="A10" s="11"/>
    </row>
    <row r="11" spans="1:7">
      <c r="A11" s="11"/>
    </row>
    <row r="22" spans="1:1">
      <c r="A22" s="11"/>
    </row>
    <row r="25" spans="1:1">
      <c r="A25" s="1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7" sqref="F7"/>
    </sheetView>
  </sheetViews>
  <sheetFormatPr defaultColWidth="9.16071428571429" defaultRowHeight="17.6" outlineLevelCol="6"/>
  <cols>
    <col min="1" max="1" width="12" customWidth="1"/>
    <col min="2" max="2" width="14.6607142857143" style="2" customWidth="1"/>
    <col min="3" max="3" width="16.5178571428571" customWidth="1"/>
    <col min="4" max="5" width="8.5" style="1" customWidth="1"/>
    <col min="6" max="6" width="41.1428571428571" style="1" customWidth="1"/>
    <col min="7" max="7" width="11.6607142857143"/>
  </cols>
  <sheetData>
    <row r="1" s="1" customFormat="1" spans="1:7">
      <c r="A1" s="1" t="s">
        <v>2</v>
      </c>
      <c r="B1" s="3" t="s">
        <v>3</v>
      </c>
      <c r="C1" s="1" t="s">
        <v>4</v>
      </c>
      <c r="D1" s="1" t="s">
        <v>5</v>
      </c>
      <c r="E1" s="8" t="s">
        <v>6</v>
      </c>
      <c r="F1" s="1" t="s">
        <v>235</v>
      </c>
      <c r="G1" s="1" t="s">
        <v>1</v>
      </c>
    </row>
    <row r="2" spans="1:7">
      <c r="A2" s="4">
        <v>45636</v>
      </c>
      <c r="B2" s="2">
        <v>3210000</v>
      </c>
      <c r="C2" t="s">
        <v>436</v>
      </c>
      <c r="D2" s="1" t="s">
        <v>8</v>
      </c>
    </row>
    <row r="3" spans="1:7">
      <c r="A3" s="4">
        <v>45806</v>
      </c>
      <c r="B3" s="2">
        <v>6450000</v>
      </c>
      <c r="C3" t="s">
        <v>437</v>
      </c>
      <c r="D3" s="1" t="s">
        <v>8</v>
      </c>
      <c r="E3" s="1">
        <v>690</v>
      </c>
      <c r="F3" s="1" t="s">
        <v>438</v>
      </c>
    </row>
    <row r="4" spans="1:7">
      <c r="A4" s="4">
        <v>45807</v>
      </c>
      <c r="B4" s="2">
        <v>3750000</v>
      </c>
      <c r="C4" t="s">
        <v>439</v>
      </c>
      <c r="D4" s="1" t="s">
        <v>8</v>
      </c>
      <c r="E4" s="1">
        <v>699</v>
      </c>
      <c r="F4" s="1" t="s">
        <v>438</v>
      </c>
    </row>
    <row r="5" spans="1:7">
      <c r="A5" s="4">
        <v>45845</v>
      </c>
      <c r="B5" s="2">
        <v>81370</v>
      </c>
      <c r="C5" t="s">
        <v>440</v>
      </c>
      <c r="F5" s="1" t="s">
        <v>441</v>
      </c>
    </row>
    <row r="6" spans="1:7">
      <c r="A6" s="4">
        <v>45846</v>
      </c>
      <c r="B6" s="2">
        <v>1190700</v>
      </c>
      <c r="C6" t="s">
        <v>442</v>
      </c>
      <c r="F6" s="1" t="s">
        <v>276</v>
      </c>
    </row>
    <row r="7" spans="1:7">
      <c r="A7" s="4">
        <v>45846</v>
      </c>
      <c r="B7" s="2">
        <v>60000</v>
      </c>
      <c r="C7" t="s">
        <v>443</v>
      </c>
      <c r="F7" s="1" t="s">
        <v>441</v>
      </c>
    </row>
    <row r="17" spans="1:1">
      <c r="A17" s="11"/>
    </row>
    <row r="20" spans="1:1">
      <c r="A20" s="1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A19" workbookViewId="0">
      <selection activeCell="E53" sqref="E53"/>
    </sheetView>
  </sheetViews>
  <sheetFormatPr defaultColWidth="9.16071428571429" defaultRowHeight="17.6" outlineLevelCol="6"/>
  <cols>
    <col min="1" max="1" width="38.6428571428571" style="7" customWidth="1"/>
    <col min="2" max="2" width="36.8303571428571" style="1" customWidth="1"/>
    <col min="3" max="3" width="12" style="1" customWidth="1"/>
    <col min="4" max="4" width="14.6607142857143" style="2" customWidth="1"/>
    <col min="5" max="5" width="18.5982142857143" style="1" customWidth="1"/>
    <col min="6" max="6" width="8.5" style="1" customWidth="1"/>
    <col min="7" max="7" width="8.5" style="8" customWidth="1"/>
    <col min="9" max="9" width="11.3303571428571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B2" s="52" t="s">
        <v>444</v>
      </c>
      <c r="C2" s="13">
        <v>45672</v>
      </c>
      <c r="D2" s="2">
        <v>81600</v>
      </c>
      <c r="E2" s="1" t="s">
        <v>445</v>
      </c>
      <c r="F2" s="1" t="s">
        <v>12</v>
      </c>
    </row>
    <row r="3" spans="1:7">
      <c r="B3" s="52" t="s">
        <v>446</v>
      </c>
      <c r="C3" s="13">
        <v>45643</v>
      </c>
      <c r="D3" s="2">
        <v>42116</v>
      </c>
      <c r="E3" s="1" t="s">
        <v>445</v>
      </c>
      <c r="F3" s="1" t="s">
        <v>12</v>
      </c>
    </row>
    <row r="4" spans="1:7">
      <c r="B4" s="1" t="s">
        <v>9</v>
      </c>
      <c r="C4" s="13">
        <v>45643</v>
      </c>
      <c r="D4" s="2">
        <v>81600</v>
      </c>
      <c r="E4" s="1" t="s">
        <v>445</v>
      </c>
      <c r="F4" s="1" t="s">
        <v>12</v>
      </c>
    </row>
    <row r="5" spans="1:7">
      <c r="B5" s="52" t="s">
        <v>447</v>
      </c>
      <c r="C5" s="13">
        <v>45691</v>
      </c>
      <c r="D5" s="2">
        <v>81600</v>
      </c>
      <c r="E5" s="1" t="s">
        <v>445</v>
      </c>
      <c r="F5" s="1" t="s">
        <v>12</v>
      </c>
    </row>
    <row r="6" ht="36" spans="1:7">
      <c r="B6" s="31" t="s">
        <v>448</v>
      </c>
      <c r="C6" s="13">
        <v>45604</v>
      </c>
      <c r="D6" s="2">
        <v>120000</v>
      </c>
      <c r="E6" s="1" t="s">
        <v>449</v>
      </c>
      <c r="F6" s="1" t="s">
        <v>12</v>
      </c>
    </row>
    <row r="7" spans="1:7">
      <c r="B7" s="1" t="s">
        <v>149</v>
      </c>
      <c r="C7" s="13">
        <v>45713</v>
      </c>
      <c r="D7" s="2">
        <v>1275</v>
      </c>
      <c r="E7" s="1" t="s">
        <v>449</v>
      </c>
      <c r="F7" s="1" t="s">
        <v>12</v>
      </c>
    </row>
    <row r="8" ht="36" spans="1:7">
      <c r="B8" s="31" t="s">
        <v>450</v>
      </c>
      <c r="C8" s="13">
        <v>45707</v>
      </c>
      <c r="D8" s="2">
        <v>129800</v>
      </c>
      <c r="E8" s="1" t="s">
        <v>451</v>
      </c>
      <c r="F8" s="1" t="s">
        <v>12</v>
      </c>
    </row>
    <row r="9" spans="1:7">
      <c r="A9" s="38" t="s">
        <v>452</v>
      </c>
      <c r="B9" s="1" t="s">
        <v>453</v>
      </c>
      <c r="C9" s="13">
        <v>45712</v>
      </c>
      <c r="D9" s="2">
        <v>550710</v>
      </c>
      <c r="E9" s="1" t="s">
        <v>454</v>
      </c>
      <c r="F9" s="1" t="s">
        <v>12</v>
      </c>
    </row>
    <row r="10" spans="1:7">
      <c r="A10" s="38" t="s">
        <v>127</v>
      </c>
      <c r="B10" s="1" t="s">
        <v>455</v>
      </c>
      <c r="C10" s="13">
        <v>45712</v>
      </c>
      <c r="D10" s="2">
        <v>82290</v>
      </c>
      <c r="E10" s="1" t="s">
        <v>454</v>
      </c>
      <c r="F10" s="1" t="s">
        <v>12</v>
      </c>
    </row>
    <row r="11" spans="1:7">
      <c r="A11" s="7" t="s">
        <v>456</v>
      </c>
      <c r="B11" s="52" t="s">
        <v>457</v>
      </c>
      <c r="C11" s="13">
        <v>45721</v>
      </c>
      <c r="D11" s="2">
        <v>81600</v>
      </c>
      <c r="E11" s="1" t="s">
        <v>445</v>
      </c>
      <c r="F11" s="1" t="s">
        <v>12</v>
      </c>
      <c r="G11" s="8">
        <v>179</v>
      </c>
    </row>
    <row r="12" ht="18" spans="1:7">
      <c r="A12" s="7" t="s">
        <v>458</v>
      </c>
      <c r="B12" s="31" t="s">
        <v>459</v>
      </c>
      <c r="C12" s="13">
        <v>45721</v>
      </c>
      <c r="D12" s="2">
        <v>365800</v>
      </c>
      <c r="E12" s="1" t="s">
        <v>451</v>
      </c>
      <c r="F12" s="1" t="s">
        <v>12</v>
      </c>
      <c r="G12" s="8">
        <v>184</v>
      </c>
    </row>
    <row r="13" spans="1:7">
      <c r="B13" s="1" t="s">
        <v>149</v>
      </c>
      <c r="C13" s="13">
        <v>45621</v>
      </c>
      <c r="D13" s="2">
        <v>12525</v>
      </c>
      <c r="E13" s="1" t="s">
        <v>449</v>
      </c>
      <c r="F13" s="1" t="s">
        <v>12</v>
      </c>
    </row>
    <row r="14" ht="18" spans="1:7">
      <c r="A14" s="7" t="s">
        <v>458</v>
      </c>
      <c r="B14" s="31" t="s">
        <v>460</v>
      </c>
      <c r="C14" s="13">
        <v>45741</v>
      </c>
      <c r="D14" s="2">
        <v>354000</v>
      </c>
      <c r="E14" s="1" t="s">
        <v>451</v>
      </c>
      <c r="F14" s="1" t="s">
        <v>12</v>
      </c>
    </row>
    <row r="15" spans="1:7">
      <c r="A15" s="38" t="s">
        <v>127</v>
      </c>
      <c r="B15" s="21" t="s">
        <v>455</v>
      </c>
      <c r="C15" s="13">
        <v>45743</v>
      </c>
      <c r="D15" s="22">
        <v>82339.29</v>
      </c>
      <c r="E15" s="1" t="s">
        <v>454</v>
      </c>
      <c r="F15" s="1" t="s">
        <v>12</v>
      </c>
    </row>
    <row r="16" spans="1:7">
      <c r="A16" s="38" t="s">
        <v>452</v>
      </c>
      <c r="B16" s="21" t="s">
        <v>461</v>
      </c>
      <c r="C16" s="13">
        <v>45743</v>
      </c>
      <c r="D16" s="22">
        <v>550993.71</v>
      </c>
      <c r="E16" s="1" t="s">
        <v>454</v>
      </c>
      <c r="F16" s="1" t="s">
        <v>12</v>
      </c>
    </row>
    <row r="17" spans="1:7">
      <c r="A17" s="7" t="s">
        <v>456</v>
      </c>
      <c r="B17" s="52" t="s">
        <v>462</v>
      </c>
      <c r="C17" s="13">
        <v>45763</v>
      </c>
      <c r="D17" s="2">
        <v>81600</v>
      </c>
      <c r="E17" s="1" t="s">
        <v>445</v>
      </c>
      <c r="F17" s="1" t="s">
        <v>12</v>
      </c>
      <c r="G17" s="8" t="s">
        <v>463</v>
      </c>
    </row>
    <row r="18" spans="1:7">
      <c r="A18" s="7" t="s">
        <v>458</v>
      </c>
      <c r="B18" s="1" t="s">
        <v>464</v>
      </c>
      <c r="C18" s="13">
        <v>45772</v>
      </c>
      <c r="D18" s="2">
        <v>365800</v>
      </c>
      <c r="E18" s="1" t="s">
        <v>451</v>
      </c>
      <c r="F18" s="1" t="s">
        <v>12</v>
      </c>
      <c r="G18" s="8" t="s">
        <v>465</v>
      </c>
    </row>
    <row r="19" spans="1:7">
      <c r="A19" s="38" t="s">
        <v>452</v>
      </c>
      <c r="B19" s="21" t="s">
        <v>466</v>
      </c>
      <c r="C19" s="13">
        <v>45792</v>
      </c>
      <c r="D19" s="22">
        <v>550993.71</v>
      </c>
      <c r="E19" s="1" t="s">
        <v>454</v>
      </c>
      <c r="F19" s="1" t="s">
        <v>12</v>
      </c>
    </row>
    <row r="20" spans="1:7">
      <c r="A20" s="38" t="s">
        <v>127</v>
      </c>
      <c r="B20" s="21" t="s">
        <v>455</v>
      </c>
      <c r="C20" s="13">
        <v>45805</v>
      </c>
      <c r="D20" s="22">
        <v>82339.29</v>
      </c>
      <c r="E20" s="1" t="s">
        <v>454</v>
      </c>
      <c r="F20" s="1" t="s">
        <v>12</v>
      </c>
    </row>
    <row r="21" spans="1:7">
      <c r="A21" s="7" t="s">
        <v>458</v>
      </c>
      <c r="B21" s="1" t="s">
        <v>467</v>
      </c>
      <c r="C21" s="13">
        <v>45800</v>
      </c>
      <c r="D21" s="2">
        <v>354000</v>
      </c>
      <c r="E21" s="1" t="s">
        <v>451</v>
      </c>
      <c r="F21" s="1" t="s">
        <v>12</v>
      </c>
      <c r="G21" s="8" t="s">
        <v>468</v>
      </c>
    </row>
    <row r="22" customFormat="1" spans="1:7">
      <c r="A22" s="7" t="s">
        <v>456</v>
      </c>
      <c r="B22" s="52" t="s">
        <v>469</v>
      </c>
      <c r="C22" s="13">
        <v>45796</v>
      </c>
      <c r="D22" s="2">
        <v>81600</v>
      </c>
      <c r="E22" s="1" t="s">
        <v>445</v>
      </c>
      <c r="F22" s="1" t="s">
        <v>12</v>
      </c>
      <c r="G22" s="8" t="s">
        <v>470</v>
      </c>
    </row>
    <row r="23" spans="1:7">
      <c r="A23" s="7" t="s">
        <v>221</v>
      </c>
      <c r="B23" s="1" t="s">
        <v>471</v>
      </c>
      <c r="C23" s="13">
        <v>45798</v>
      </c>
      <c r="D23" s="2">
        <v>64192</v>
      </c>
      <c r="E23" s="1" t="s">
        <v>445</v>
      </c>
      <c r="F23" s="1" t="s">
        <v>12</v>
      </c>
      <c r="G23" s="8" t="s">
        <v>472</v>
      </c>
    </row>
    <row r="24" spans="1:7">
      <c r="A24" s="7" t="s">
        <v>221</v>
      </c>
      <c r="B24" s="1" t="s">
        <v>473</v>
      </c>
      <c r="C24" s="13">
        <v>45798</v>
      </c>
      <c r="D24" s="2">
        <v>99008</v>
      </c>
      <c r="E24" s="1" t="s">
        <v>445</v>
      </c>
      <c r="F24" s="1" t="s">
        <v>12</v>
      </c>
      <c r="G24" s="8" t="s">
        <v>474</v>
      </c>
    </row>
    <row r="25" spans="1:7">
      <c r="A25" s="7" t="s">
        <v>475</v>
      </c>
      <c r="B25" s="1" t="s">
        <v>476</v>
      </c>
      <c r="C25" s="13">
        <v>45797</v>
      </c>
      <c r="D25" s="2">
        <v>120000</v>
      </c>
      <c r="E25" s="1" t="s">
        <v>449</v>
      </c>
      <c r="F25" s="1" t="s">
        <v>12</v>
      </c>
    </row>
    <row r="26" spans="1:7">
      <c r="A26" s="7" t="s">
        <v>477</v>
      </c>
      <c r="B26" s="1" t="s">
        <v>478</v>
      </c>
      <c r="C26" s="13">
        <v>45806</v>
      </c>
      <c r="D26" s="2">
        <v>7500000</v>
      </c>
      <c r="E26" s="1" t="s">
        <v>479</v>
      </c>
      <c r="F26" s="1" t="s">
        <v>12</v>
      </c>
      <c r="G26" s="8" t="s">
        <v>480</v>
      </c>
    </row>
    <row r="27" spans="1:7">
      <c r="A27" s="7" t="s">
        <v>456</v>
      </c>
      <c r="B27" s="52" t="s">
        <v>481</v>
      </c>
      <c r="C27" s="13">
        <v>45818</v>
      </c>
      <c r="D27" s="2">
        <v>27200</v>
      </c>
      <c r="E27" s="1" t="s">
        <v>445</v>
      </c>
    </row>
    <row r="28" spans="1:7">
      <c r="A28" s="38" t="s">
        <v>452</v>
      </c>
      <c r="B28" s="21" t="s">
        <v>482</v>
      </c>
      <c r="C28" s="13">
        <v>45812</v>
      </c>
      <c r="D28" s="2">
        <v>538333.05</v>
      </c>
      <c r="E28" s="1" t="s">
        <v>454</v>
      </c>
    </row>
    <row r="29" spans="1:7">
      <c r="A29" s="38" t="s">
        <v>452</v>
      </c>
      <c r="B29" s="21" t="s">
        <v>483</v>
      </c>
      <c r="C29" s="13">
        <v>45819</v>
      </c>
      <c r="D29" s="2">
        <v>9173.53</v>
      </c>
      <c r="E29" s="1" t="s">
        <v>454</v>
      </c>
    </row>
    <row r="30" spans="1:7">
      <c r="A30" s="38" t="s">
        <v>452</v>
      </c>
      <c r="B30" s="21" t="s">
        <v>484</v>
      </c>
      <c r="C30" s="13">
        <v>45835</v>
      </c>
      <c r="D30" s="2">
        <v>84845</v>
      </c>
      <c r="E30" s="1" t="s">
        <v>454</v>
      </c>
    </row>
    <row r="31" spans="1:7">
      <c r="A31" s="7" t="s">
        <v>458</v>
      </c>
      <c r="B31" s="1" t="s">
        <v>485</v>
      </c>
      <c r="C31" s="13">
        <v>45834</v>
      </c>
      <c r="D31" s="2">
        <v>474300</v>
      </c>
      <c r="E31" s="1" t="s">
        <v>451</v>
      </c>
    </row>
    <row r="32" spans="1:7">
      <c r="A32" s="38" t="s">
        <v>452</v>
      </c>
      <c r="B32" s="21" t="s">
        <v>486</v>
      </c>
      <c r="C32" s="13">
        <v>45845</v>
      </c>
      <c r="D32" s="2">
        <v>538050</v>
      </c>
      <c r="E32" s="1" t="s">
        <v>454</v>
      </c>
    </row>
    <row r="33" spans="1:5">
      <c r="A33" s="7" t="s">
        <v>456</v>
      </c>
      <c r="B33" s="1" t="s">
        <v>487</v>
      </c>
      <c r="C33" s="13">
        <v>45845</v>
      </c>
      <c r="D33" s="2">
        <v>99008</v>
      </c>
      <c r="E33" s="1" t="s">
        <v>445</v>
      </c>
    </row>
    <row r="34" spans="1:5">
      <c r="A34" s="7" t="s">
        <v>456</v>
      </c>
      <c r="B34" s="1" t="s">
        <v>488</v>
      </c>
      <c r="C34" s="13">
        <v>45845</v>
      </c>
      <c r="D34" s="2">
        <v>128384</v>
      </c>
      <c r="E34" s="1" t="s">
        <v>445</v>
      </c>
    </row>
    <row r="35" spans="1:5">
      <c r="A35" s="7" t="s">
        <v>477</v>
      </c>
      <c r="B35" s="1" t="s">
        <v>489</v>
      </c>
      <c r="C35" s="13">
        <v>45849</v>
      </c>
      <c r="D35" s="2">
        <v>8976000</v>
      </c>
      <c r="E35" s="1" t="s">
        <v>479</v>
      </c>
    </row>
    <row r="36" spans="1:5">
      <c r="A36" s="38" t="s">
        <v>452</v>
      </c>
      <c r="B36" s="21" t="s">
        <v>490</v>
      </c>
      <c r="C36" s="13">
        <v>45855</v>
      </c>
      <c r="D36" s="2">
        <v>538050</v>
      </c>
      <c r="E36" s="1" t="s">
        <v>454</v>
      </c>
    </row>
    <row r="37" spans="1:5">
      <c r="A37" s="7" t="s">
        <v>458</v>
      </c>
      <c r="B37" s="1" t="s">
        <v>491</v>
      </c>
      <c r="C37" s="13">
        <v>45861</v>
      </c>
      <c r="D37" s="2">
        <v>474300</v>
      </c>
      <c r="E37" s="1" t="s">
        <v>451</v>
      </c>
    </row>
    <row r="38" spans="1:5">
      <c r="A38" s="7" t="s">
        <v>492</v>
      </c>
      <c r="B38" s="1" t="s">
        <v>493</v>
      </c>
      <c r="C38" s="13">
        <v>45889</v>
      </c>
      <c r="D38" s="2">
        <v>1620000</v>
      </c>
      <c r="E38" s="1" t="s">
        <v>494</v>
      </c>
    </row>
    <row r="39" spans="1:5">
      <c r="A39" s="7" t="s">
        <v>477</v>
      </c>
      <c r="B39" s="2" t="s">
        <v>495</v>
      </c>
      <c r="C39" s="13">
        <v>45917</v>
      </c>
      <c r="D39" s="2">
        <v>4080000</v>
      </c>
      <c r="E39" s="1" t="s">
        <v>479</v>
      </c>
    </row>
    <row r="40" spans="1:5">
      <c r="A40" s="7" t="s">
        <v>221</v>
      </c>
      <c r="B40" s="1" t="s">
        <v>496</v>
      </c>
      <c r="C40" s="13">
        <v>45918</v>
      </c>
      <c r="D40" s="2">
        <v>297024</v>
      </c>
      <c r="E40" s="1" t="s">
        <v>445</v>
      </c>
    </row>
    <row r="41" spans="1:5">
      <c r="A41" s="7" t="s">
        <v>492</v>
      </c>
      <c r="B41" s="1" t="s">
        <v>497</v>
      </c>
      <c r="C41" s="13">
        <v>45922</v>
      </c>
      <c r="D41" s="2">
        <v>1800000</v>
      </c>
      <c r="E41" s="1" t="s">
        <v>494</v>
      </c>
    </row>
    <row r="42" spans="1:5">
      <c r="A42" s="7" t="s">
        <v>221</v>
      </c>
      <c r="B42" s="1" t="s">
        <v>498</v>
      </c>
      <c r="C42" s="13">
        <v>45931</v>
      </c>
      <c r="D42" s="2">
        <v>192576</v>
      </c>
      <c r="E42" s="1" t="s">
        <v>445</v>
      </c>
    </row>
    <row r="43" spans="1:5">
      <c r="A43" s="7" t="s">
        <v>499</v>
      </c>
      <c r="B43" s="1" t="s">
        <v>500</v>
      </c>
      <c r="C43" s="13">
        <v>45937</v>
      </c>
      <c r="D43" s="2">
        <v>140000</v>
      </c>
      <c r="E43" s="1" t="s">
        <v>445</v>
      </c>
    </row>
    <row r="44" spans="1:5">
      <c r="A44" s="7" t="s">
        <v>221</v>
      </c>
      <c r="B44" s="1" t="s">
        <v>501</v>
      </c>
      <c r="C44" s="13">
        <v>45945</v>
      </c>
      <c r="D44" s="2">
        <v>34816</v>
      </c>
      <c r="E44" s="1" t="s">
        <v>445</v>
      </c>
    </row>
    <row r="45" spans="1:5">
      <c r="A45" s="7" t="s">
        <v>221</v>
      </c>
      <c r="B45" s="1" t="s">
        <v>501</v>
      </c>
      <c r="C45" s="13">
        <v>45945</v>
      </c>
      <c r="D45" s="2">
        <v>64192</v>
      </c>
      <c r="E45" s="1" t="s">
        <v>445</v>
      </c>
    </row>
    <row r="46" spans="1:5">
      <c r="A46" s="7" t="s">
        <v>477</v>
      </c>
      <c r="B46" s="1" t="s">
        <v>502</v>
      </c>
      <c r="C46" s="13">
        <v>45950</v>
      </c>
      <c r="D46" s="2">
        <v>8866000</v>
      </c>
      <c r="E46" s="1" t="s">
        <v>479</v>
      </c>
    </row>
    <row r="47" spans="1:5">
      <c r="A47" s="7" t="s">
        <v>492</v>
      </c>
      <c r="B47" s="1" t="s">
        <v>503</v>
      </c>
      <c r="C47" s="13">
        <v>45971</v>
      </c>
      <c r="D47" s="2">
        <v>2185000</v>
      </c>
      <c r="E47" s="1" t="s">
        <v>494</v>
      </c>
    </row>
    <row r="48" spans="1:5">
      <c r="A48" s="7" t="s">
        <v>50</v>
      </c>
      <c r="B48" s="1" t="s">
        <v>504</v>
      </c>
      <c r="C48" s="13">
        <v>45975</v>
      </c>
      <c r="D48" s="2">
        <v>82590</v>
      </c>
      <c r="E48" s="1" t="s">
        <v>445</v>
      </c>
    </row>
    <row r="49" spans="1:5">
      <c r="A49" s="7" t="s">
        <v>221</v>
      </c>
      <c r="B49" s="1" t="s">
        <v>505</v>
      </c>
      <c r="C49" s="13">
        <v>45975</v>
      </c>
      <c r="D49" s="2">
        <v>99008</v>
      </c>
      <c r="E49" s="1" t="s">
        <v>445</v>
      </c>
    </row>
    <row r="50" spans="1:5">
      <c r="A50" s="7" t="s">
        <v>499</v>
      </c>
      <c r="B50" s="1" t="s">
        <v>506</v>
      </c>
      <c r="C50" s="13">
        <v>45975</v>
      </c>
      <c r="D50" s="2">
        <v>140000</v>
      </c>
      <c r="E50" s="1" t="s">
        <v>445</v>
      </c>
    </row>
    <row r="51" spans="1:5">
      <c r="A51" s="7" t="s">
        <v>221</v>
      </c>
      <c r="B51" s="1" t="s">
        <v>507</v>
      </c>
      <c r="C51" s="13">
        <v>45979</v>
      </c>
      <c r="D51" s="2">
        <v>64192</v>
      </c>
      <c r="E51" s="1" t="s">
        <v>445</v>
      </c>
    </row>
    <row r="52" spans="1:5">
      <c r="A52" s="7" t="s">
        <v>492</v>
      </c>
      <c r="B52" s="1" t="s">
        <v>508</v>
      </c>
      <c r="C52" s="13">
        <v>46003</v>
      </c>
      <c r="D52" s="2">
        <v>1950000</v>
      </c>
      <c r="E52" s="1" t="s">
        <v>494</v>
      </c>
    </row>
    <row r="53" spans="1:5">
      <c r="A53" s="7" t="s">
        <v>492</v>
      </c>
      <c r="B53" s="1" t="s">
        <v>509</v>
      </c>
      <c r="C53" s="13">
        <v>46017</v>
      </c>
      <c r="D53" s="2">
        <v>2015000</v>
      </c>
      <c r="E53" s="1" t="s">
        <v>494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E8" sqref="E8"/>
    </sheetView>
  </sheetViews>
  <sheetFormatPr defaultColWidth="9.16071428571429" defaultRowHeight="17.6" outlineLevelCol="6"/>
  <cols>
    <col min="1" max="1" width="38.6428571428571" style="7" customWidth="1"/>
    <col min="2" max="2" width="36.8303571428571" style="1" customWidth="1"/>
    <col min="3" max="3" width="12" style="1" customWidth="1"/>
    <col min="4" max="4" width="14.6607142857143" style="2" customWidth="1"/>
    <col min="5" max="5" width="18.5982142857143" style="1" customWidth="1"/>
    <col min="6" max="6" width="8.5" style="1" customWidth="1"/>
    <col min="7" max="7" width="8.5" style="8" customWidth="1"/>
    <col min="9" max="9" width="11.3303571428571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7" t="s">
        <v>510</v>
      </c>
      <c r="B2" s="29" t="s">
        <v>511</v>
      </c>
      <c r="C2" s="13">
        <v>45929</v>
      </c>
      <c r="D2" s="2">
        <v>800475</v>
      </c>
      <c r="E2" t="s">
        <v>512</v>
      </c>
    </row>
    <row r="3" spans="1:7">
      <c r="A3" s="7" t="s">
        <v>510</v>
      </c>
      <c r="B3" s="29"/>
      <c r="C3" s="13">
        <v>45929</v>
      </c>
      <c r="D3" s="2">
        <v>1800</v>
      </c>
      <c r="E3" t="s">
        <v>512</v>
      </c>
    </row>
    <row r="4" spans="1:7">
      <c r="A4" s="7" t="s">
        <v>510</v>
      </c>
      <c r="C4" s="13">
        <v>45929</v>
      </c>
      <c r="D4" s="2">
        <v>804200</v>
      </c>
      <c r="E4" t="s">
        <v>512</v>
      </c>
    </row>
    <row r="5" spans="1:7">
      <c r="A5" s="7" t="s">
        <v>510</v>
      </c>
      <c r="B5" s="29" t="s">
        <v>513</v>
      </c>
      <c r="C5" s="13">
        <v>45959</v>
      </c>
      <c r="D5" s="2">
        <v>3727900</v>
      </c>
      <c r="E5" t="s">
        <v>512</v>
      </c>
    </row>
    <row r="6" customFormat="1" spans="1:7">
      <c r="A6" s="37" t="s">
        <v>510</v>
      </c>
      <c r="B6" s="1" t="s">
        <v>514</v>
      </c>
      <c r="C6" s="4">
        <v>45881</v>
      </c>
      <c r="D6" s="2">
        <v>500000</v>
      </c>
      <c r="E6" t="s">
        <v>512</v>
      </c>
      <c r="F6" s="1"/>
      <c r="G6" s="8"/>
    </row>
    <row r="7" customFormat="1" spans="1:7">
      <c r="A7" s="37" t="s">
        <v>510</v>
      </c>
      <c r="B7" s="1" t="s">
        <v>514</v>
      </c>
      <c r="C7" s="4">
        <v>45881</v>
      </c>
      <c r="D7" s="2">
        <v>523500</v>
      </c>
      <c r="E7" t="s">
        <v>512</v>
      </c>
      <c r="F7" s="1"/>
      <c r="G7" s="8"/>
    </row>
    <row r="8" ht="18" spans="1:7">
      <c r="A8" s="7" t="s">
        <v>510</v>
      </c>
      <c r="B8" s="31" t="s">
        <v>515</v>
      </c>
      <c r="C8" s="13">
        <v>46006</v>
      </c>
      <c r="D8" s="2">
        <v>2058750</v>
      </c>
      <c r="E8" t="s">
        <v>512</v>
      </c>
    </row>
    <row r="9" spans="1:7">
      <c r="A9" s="38"/>
      <c r="C9" s="13"/>
    </row>
    <row r="10" spans="1:7">
      <c r="A10" s="38"/>
      <c r="C10" s="13"/>
    </row>
    <row r="11" spans="1:7">
      <c r="B11" s="29"/>
      <c r="C11" s="13"/>
    </row>
    <row r="12" spans="1:7">
      <c r="B12" s="31"/>
      <c r="C12" s="13"/>
    </row>
    <row r="13" spans="1:7">
      <c r="C13" s="13"/>
    </row>
    <row r="14" spans="1:7">
      <c r="B14" s="31"/>
      <c r="C14" s="13"/>
    </row>
    <row r="15" spans="1:7">
      <c r="A15" s="38"/>
      <c r="B15" s="21"/>
      <c r="C15" s="13"/>
      <c r="D15" s="22"/>
    </row>
    <row r="16" spans="1:7">
      <c r="A16" s="38"/>
      <c r="B16" s="21"/>
      <c r="C16" s="13"/>
      <c r="D16" s="22"/>
    </row>
    <row r="17" spans="1:7">
      <c r="B17" s="29"/>
      <c r="C17" s="13"/>
    </row>
    <row r="18" spans="1:7">
      <c r="C18" s="13"/>
    </row>
    <row r="19" spans="1:7">
      <c r="A19" s="38"/>
      <c r="B19" s="21"/>
      <c r="C19" s="13"/>
      <c r="D19" s="22"/>
    </row>
    <row r="20" spans="1:7">
      <c r="A20" s="38"/>
      <c r="B20" s="21"/>
      <c r="C20" s="13"/>
      <c r="D20" s="22"/>
    </row>
    <row r="21" spans="1:7">
      <c r="C21" s="13"/>
    </row>
    <row r="22" customFormat="1" spans="1:7">
      <c r="A22" s="7"/>
      <c r="B22" s="29"/>
      <c r="C22" s="13"/>
      <c r="D22" s="2"/>
      <c r="E22" s="1"/>
      <c r="F22" s="1"/>
      <c r="G22" s="8"/>
    </row>
    <row r="23" spans="1:7">
      <c r="C23" s="13"/>
    </row>
    <row r="24" spans="1:7">
      <c r="C24" s="13"/>
    </row>
    <row r="25" spans="1:7">
      <c r="C25" s="13"/>
    </row>
    <row r="26" spans="1:7">
      <c r="C26" s="13"/>
    </row>
    <row r="27" spans="1:7">
      <c r="B27" s="29"/>
      <c r="C27" s="13"/>
    </row>
    <row r="28" spans="1:7">
      <c r="A28" s="38"/>
      <c r="B28" s="21"/>
      <c r="C28" s="13"/>
    </row>
    <row r="29" spans="1:7">
      <c r="A29" s="38"/>
      <c r="B29" s="21"/>
      <c r="C29" s="13"/>
    </row>
    <row r="30" spans="1:7">
      <c r="A30" s="38"/>
      <c r="B30" s="21"/>
      <c r="C30" s="13"/>
    </row>
    <row r="31" spans="1:7">
      <c r="C31" s="13"/>
    </row>
    <row r="32" spans="1:7">
      <c r="A32" s="38"/>
      <c r="B32" s="21"/>
      <c r="C32" s="13"/>
    </row>
    <row r="33" spans="1:3">
      <c r="C33" s="13"/>
    </row>
    <row r="34" spans="1:3">
      <c r="C34" s="13"/>
    </row>
    <row r="35" spans="1:3">
      <c r="C35" s="13"/>
    </row>
    <row r="36" spans="1:3">
      <c r="A36" s="38"/>
      <c r="B36" s="21"/>
      <c r="C36" s="13"/>
    </row>
    <row r="37" spans="1:3">
      <c r="C37" s="13"/>
    </row>
    <row r="38" spans="1:3">
      <c r="C38" s="13"/>
    </row>
    <row r="39" spans="1:3">
      <c r="B39" s="3"/>
      <c r="C39" s="13"/>
    </row>
    <row r="40" spans="1:3">
      <c r="C40" s="13"/>
    </row>
    <row r="41" spans="1:3">
      <c r="C41" s="1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zoomScale="90" zoomScaleNormal="90" topLeftCell="A87" workbookViewId="0">
      <selection activeCell="E104" sqref="E104"/>
    </sheetView>
  </sheetViews>
  <sheetFormatPr defaultColWidth="9.16071428571429" defaultRowHeight="17.6" outlineLevelCol="6"/>
  <cols>
    <col min="1" max="1" width="41.1428571428571" style="7" customWidth="1"/>
    <col min="2" max="2" width="24.5" style="1" customWidth="1"/>
    <col min="3" max="3" width="12" customWidth="1"/>
    <col min="4" max="4" width="17.2053571428571" style="2" customWidth="1"/>
    <col min="5" max="5" width="9.5" style="7" customWidth="1"/>
    <col min="6" max="6" width="8.5" style="1" customWidth="1"/>
    <col min="7" max="7" width="8.5" style="8" customWidth="1"/>
    <col min="8" max="8" width="11.3303571428571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pans="1:7">
      <c r="A2" s="7" t="s">
        <v>516</v>
      </c>
      <c r="B2" s="1" t="s">
        <v>517</v>
      </c>
      <c r="C2" s="4">
        <v>45629</v>
      </c>
      <c r="D2" s="2">
        <v>85123.8</v>
      </c>
      <c r="E2" s="1" t="s">
        <v>518</v>
      </c>
      <c r="F2" s="1" t="s">
        <v>8</v>
      </c>
    </row>
    <row r="3" spans="1:7">
      <c r="A3" s="7" t="s">
        <v>519</v>
      </c>
      <c r="B3" s="1" t="s">
        <v>520</v>
      </c>
      <c r="C3" s="4">
        <v>45637</v>
      </c>
      <c r="D3" s="2">
        <v>634880</v>
      </c>
      <c r="E3" s="1" t="s">
        <v>518</v>
      </c>
      <c r="F3" s="1" t="s">
        <v>8</v>
      </c>
    </row>
    <row r="4" spans="1:7">
      <c r="A4" s="7" t="s">
        <v>519</v>
      </c>
      <c r="B4" s="1" t="s">
        <v>521</v>
      </c>
      <c r="C4" s="4">
        <v>45645</v>
      </c>
      <c r="D4" s="2">
        <v>107048</v>
      </c>
      <c r="E4" s="1" t="s">
        <v>518</v>
      </c>
      <c r="F4" s="1" t="s">
        <v>8</v>
      </c>
    </row>
    <row r="5" spans="1:7">
      <c r="A5" s="7" t="s">
        <v>522</v>
      </c>
      <c r="B5" s="1" t="s">
        <v>523</v>
      </c>
      <c r="C5" s="4">
        <v>45645</v>
      </c>
      <c r="D5" s="2">
        <v>30932.27</v>
      </c>
      <c r="E5" s="1" t="s">
        <v>524</v>
      </c>
      <c r="F5" s="1" t="s">
        <v>8</v>
      </c>
    </row>
    <row r="6" spans="1:7">
      <c r="A6" s="7" t="s">
        <v>525</v>
      </c>
      <c r="B6" s="1" t="s">
        <v>526</v>
      </c>
      <c r="C6" s="4">
        <v>45645</v>
      </c>
      <c r="D6" s="2">
        <v>51326.8</v>
      </c>
      <c r="E6" s="1" t="s">
        <v>518</v>
      </c>
      <c r="F6" s="1" t="s">
        <v>8</v>
      </c>
    </row>
    <row r="7" spans="1:7">
      <c r="A7" s="7" t="s">
        <v>516</v>
      </c>
      <c r="B7" s="1" t="s">
        <v>517</v>
      </c>
      <c r="C7" s="4">
        <v>45645</v>
      </c>
      <c r="D7" s="2">
        <v>3750</v>
      </c>
      <c r="E7" s="1" t="s">
        <v>518</v>
      </c>
      <c r="F7" s="1" t="s">
        <v>8</v>
      </c>
    </row>
    <row r="8" spans="1:7">
      <c r="A8" s="7" t="s">
        <v>516</v>
      </c>
      <c r="B8" s="1" t="s">
        <v>517</v>
      </c>
      <c r="C8" s="4">
        <v>45645</v>
      </c>
      <c r="D8" s="2">
        <v>118498.4</v>
      </c>
      <c r="E8" s="1" t="s">
        <v>518</v>
      </c>
      <c r="F8" s="1" t="s">
        <v>8</v>
      </c>
    </row>
    <row r="9" spans="1:7">
      <c r="A9" s="7" t="s">
        <v>522</v>
      </c>
      <c r="B9" s="1" t="s">
        <v>523</v>
      </c>
      <c r="C9" s="4">
        <v>45651</v>
      </c>
      <c r="D9" s="2">
        <v>17176.65</v>
      </c>
      <c r="E9" s="1" t="s">
        <v>524</v>
      </c>
      <c r="F9" s="1" t="s">
        <v>8</v>
      </c>
    </row>
    <row r="10" spans="1:7">
      <c r="A10" s="7" t="s">
        <v>527</v>
      </c>
      <c r="B10" s="1" t="s">
        <v>528</v>
      </c>
      <c r="C10" s="4">
        <v>45679</v>
      </c>
      <c r="D10" s="2">
        <v>14673.96</v>
      </c>
      <c r="E10" s="1" t="s">
        <v>518</v>
      </c>
      <c r="F10" s="1" t="s">
        <v>8</v>
      </c>
    </row>
    <row r="11" spans="1:7">
      <c r="A11" s="7" t="s">
        <v>519</v>
      </c>
      <c r="B11" s="1" t="s">
        <v>529</v>
      </c>
      <c r="C11" s="4">
        <v>45680</v>
      </c>
      <c r="D11" s="2">
        <v>134890</v>
      </c>
      <c r="E11" s="1" t="s">
        <v>518</v>
      </c>
      <c r="F11" s="1" t="s">
        <v>8</v>
      </c>
    </row>
    <row r="12" spans="1:7">
      <c r="A12" s="7" t="s">
        <v>522</v>
      </c>
      <c r="B12" s="1" t="s">
        <v>523</v>
      </c>
      <c r="C12" s="4">
        <v>45684</v>
      </c>
      <c r="D12" s="2">
        <v>136368.5</v>
      </c>
      <c r="E12" s="1" t="s">
        <v>524</v>
      </c>
      <c r="F12" s="1" t="s">
        <v>8</v>
      </c>
    </row>
    <row r="13" spans="1:7">
      <c r="A13" s="7" t="s">
        <v>530</v>
      </c>
      <c r="B13" s="1" t="s">
        <v>531</v>
      </c>
      <c r="C13" s="4">
        <v>45684</v>
      </c>
      <c r="D13" s="2">
        <v>17860</v>
      </c>
      <c r="E13" s="1" t="s">
        <v>518</v>
      </c>
      <c r="F13" s="1" t="s">
        <v>8</v>
      </c>
    </row>
    <row r="14" spans="1:7">
      <c r="A14" s="7" t="s">
        <v>519</v>
      </c>
      <c r="B14" s="1" t="s">
        <v>532</v>
      </c>
      <c r="C14" s="4">
        <v>45685</v>
      </c>
      <c r="D14" s="2">
        <v>219216</v>
      </c>
      <c r="E14" s="1" t="s">
        <v>518</v>
      </c>
      <c r="F14" s="1" t="s">
        <v>8</v>
      </c>
    </row>
    <row r="15" spans="1:7">
      <c r="A15" s="7" t="s">
        <v>519</v>
      </c>
      <c r="B15" s="1" t="s">
        <v>533</v>
      </c>
      <c r="C15" s="4">
        <v>45694</v>
      </c>
      <c r="D15" s="2">
        <v>271601</v>
      </c>
      <c r="E15" s="1" t="s">
        <v>518</v>
      </c>
      <c r="F15" s="1" t="s">
        <v>8</v>
      </c>
    </row>
    <row r="16" spans="1:7">
      <c r="A16" s="7" t="s">
        <v>519</v>
      </c>
      <c r="B16" s="1" t="s">
        <v>534</v>
      </c>
      <c r="C16" s="4">
        <v>45702</v>
      </c>
      <c r="D16" s="2">
        <v>453938</v>
      </c>
      <c r="E16" s="1" t="s">
        <v>535</v>
      </c>
      <c r="F16" s="1" t="s">
        <v>8</v>
      </c>
    </row>
    <row r="17" spans="1:7">
      <c r="A17" s="7" t="s">
        <v>519</v>
      </c>
      <c r="B17" s="1" t="s">
        <v>536</v>
      </c>
      <c r="C17" s="4">
        <v>45702</v>
      </c>
      <c r="D17" s="2">
        <v>279650</v>
      </c>
      <c r="E17" s="1" t="s">
        <v>535</v>
      </c>
      <c r="F17" s="1" t="s">
        <v>8</v>
      </c>
    </row>
    <row r="18" ht="36" spans="1:7">
      <c r="A18" s="7" t="s">
        <v>519</v>
      </c>
      <c r="B18" s="31" t="s">
        <v>537</v>
      </c>
      <c r="C18" s="4">
        <v>45707</v>
      </c>
      <c r="D18" s="2">
        <v>292633</v>
      </c>
      <c r="E18" s="1" t="s">
        <v>518</v>
      </c>
      <c r="F18" s="1" t="s">
        <v>8</v>
      </c>
    </row>
    <row r="19" spans="1:7">
      <c r="A19" s="7" t="s">
        <v>522</v>
      </c>
      <c r="B19" s="1" t="s">
        <v>523</v>
      </c>
      <c r="C19" s="4">
        <v>45707</v>
      </c>
      <c r="D19" s="2">
        <v>171301.11</v>
      </c>
      <c r="E19" s="1" t="s">
        <v>524</v>
      </c>
      <c r="F19" s="1" t="s">
        <v>8</v>
      </c>
    </row>
    <row r="20" spans="1:7">
      <c r="A20" s="7" t="s">
        <v>538</v>
      </c>
      <c r="B20" s="1" t="s">
        <v>539</v>
      </c>
      <c r="C20" s="4">
        <v>45707</v>
      </c>
      <c r="D20" s="2">
        <v>501000</v>
      </c>
      <c r="E20" s="1" t="s">
        <v>540</v>
      </c>
      <c r="F20" s="1" t="s">
        <v>8</v>
      </c>
    </row>
    <row r="21" spans="1:7">
      <c r="A21" s="7" t="s">
        <v>541</v>
      </c>
      <c r="B21" s="1" t="s">
        <v>542</v>
      </c>
      <c r="C21" s="4">
        <v>45707</v>
      </c>
      <c r="D21" s="2">
        <v>230000</v>
      </c>
      <c r="E21" s="1" t="s">
        <v>518</v>
      </c>
      <c r="F21" s="1" t="s">
        <v>8</v>
      </c>
    </row>
    <row r="22" spans="1:7">
      <c r="A22" s="7" t="s">
        <v>543</v>
      </c>
      <c r="B22" s="1" t="s">
        <v>544</v>
      </c>
      <c r="C22" s="4">
        <v>45707</v>
      </c>
      <c r="D22" s="2">
        <v>34716</v>
      </c>
      <c r="E22" s="1" t="s">
        <v>545</v>
      </c>
      <c r="F22" s="1" t="s">
        <v>8</v>
      </c>
    </row>
    <row r="23" spans="1:7">
      <c r="A23" s="7" t="s">
        <v>543</v>
      </c>
      <c r="B23" s="1" t="s">
        <v>546</v>
      </c>
      <c r="C23" s="4">
        <v>45707</v>
      </c>
      <c r="D23" s="2">
        <v>657273.13</v>
      </c>
      <c r="E23" s="1" t="s">
        <v>545</v>
      </c>
      <c r="F23" s="1" t="s">
        <v>8</v>
      </c>
    </row>
    <row r="24" spans="1:7">
      <c r="A24" s="7" t="s">
        <v>547</v>
      </c>
      <c r="B24" s="1" t="s">
        <v>548</v>
      </c>
      <c r="C24" s="4">
        <v>45712</v>
      </c>
      <c r="D24" s="2">
        <v>128800</v>
      </c>
      <c r="E24" s="1" t="s">
        <v>518</v>
      </c>
      <c r="F24" s="1" t="s">
        <v>8</v>
      </c>
    </row>
    <row r="25" spans="1:7">
      <c r="A25" s="7" t="s">
        <v>543</v>
      </c>
      <c r="B25" s="1" t="s">
        <v>549</v>
      </c>
      <c r="C25" s="4">
        <v>45712</v>
      </c>
      <c r="D25" s="2">
        <v>52074</v>
      </c>
      <c r="E25" s="1" t="s">
        <v>545</v>
      </c>
      <c r="F25" s="1" t="s">
        <v>8</v>
      </c>
    </row>
    <row r="26" spans="1:7">
      <c r="A26" s="7" t="s">
        <v>516</v>
      </c>
      <c r="B26" s="1" t="s">
        <v>517</v>
      </c>
      <c r="C26" s="4">
        <v>45714</v>
      </c>
      <c r="D26" s="2">
        <v>274785.6</v>
      </c>
      <c r="E26" s="1" t="s">
        <v>518</v>
      </c>
      <c r="F26" s="1" t="s">
        <v>8</v>
      </c>
    </row>
    <row r="27" spans="1:7">
      <c r="A27" s="7" t="s">
        <v>550</v>
      </c>
      <c r="B27" s="1" t="s">
        <v>551</v>
      </c>
      <c r="C27" s="4">
        <v>45714</v>
      </c>
      <c r="D27" s="2">
        <v>182000</v>
      </c>
      <c r="E27" s="1" t="s">
        <v>518</v>
      </c>
      <c r="F27" s="1" t="s">
        <v>8</v>
      </c>
    </row>
    <row r="28" spans="1:7">
      <c r="A28" s="7" t="s">
        <v>522</v>
      </c>
      <c r="B28" s="1" t="s">
        <v>552</v>
      </c>
      <c r="C28" s="4">
        <v>45722</v>
      </c>
      <c r="D28" s="2">
        <v>105600</v>
      </c>
      <c r="E28" s="1" t="s">
        <v>524</v>
      </c>
      <c r="F28" s="1" t="s">
        <v>8</v>
      </c>
      <c r="G28" s="8">
        <v>187</v>
      </c>
    </row>
    <row r="29" spans="1:7">
      <c r="A29" s="7" t="s">
        <v>553</v>
      </c>
      <c r="B29" s="1" t="s">
        <v>554</v>
      </c>
      <c r="C29" s="4">
        <v>45722</v>
      </c>
      <c r="D29" s="2">
        <v>113280</v>
      </c>
      <c r="E29" s="1" t="s">
        <v>535</v>
      </c>
      <c r="F29" s="1" t="s">
        <v>8</v>
      </c>
      <c r="G29" s="8">
        <v>185</v>
      </c>
    </row>
    <row r="30" spans="1:7">
      <c r="A30" s="7" t="s">
        <v>555</v>
      </c>
      <c r="B30" s="1" t="s">
        <v>556</v>
      </c>
      <c r="C30" s="4">
        <v>45722</v>
      </c>
      <c r="D30" s="2">
        <v>268000</v>
      </c>
      <c r="E30" s="1" t="s">
        <v>518</v>
      </c>
      <c r="F30" s="1" t="s">
        <v>8</v>
      </c>
      <c r="G30" s="8">
        <v>186</v>
      </c>
    </row>
    <row r="31" spans="1:7">
      <c r="A31" s="7" t="s">
        <v>538</v>
      </c>
      <c r="B31" s="1" t="s">
        <v>539</v>
      </c>
      <c r="C31" s="4">
        <v>45722</v>
      </c>
      <c r="D31" s="2">
        <v>501000</v>
      </c>
      <c r="E31" s="1" t="s">
        <v>540</v>
      </c>
      <c r="F31" s="1" t="s">
        <v>8</v>
      </c>
      <c r="G31" s="8">
        <v>189</v>
      </c>
    </row>
    <row r="32" spans="1:7">
      <c r="A32" s="7" t="s">
        <v>557</v>
      </c>
      <c r="B32" s="1" t="s">
        <v>558</v>
      </c>
      <c r="C32" s="4">
        <v>45723</v>
      </c>
      <c r="D32" s="2">
        <v>47500</v>
      </c>
      <c r="E32" s="1" t="s">
        <v>535</v>
      </c>
      <c r="F32" s="1" t="s">
        <v>8</v>
      </c>
      <c r="G32" s="8">
        <v>228</v>
      </c>
    </row>
    <row r="33" spans="1:7">
      <c r="A33" s="7" t="s">
        <v>543</v>
      </c>
      <c r="B33" s="1" t="s">
        <v>559</v>
      </c>
      <c r="C33" s="4">
        <v>45723</v>
      </c>
      <c r="D33" s="2">
        <v>47888.45</v>
      </c>
      <c r="E33" s="1" t="s">
        <v>545</v>
      </c>
      <c r="F33" s="1" t="s">
        <v>8</v>
      </c>
      <c r="G33" s="8">
        <v>227</v>
      </c>
    </row>
    <row r="34" spans="1:7">
      <c r="A34" s="32" t="s">
        <v>519</v>
      </c>
      <c r="B34" s="33" t="s">
        <v>560</v>
      </c>
      <c r="C34" s="4">
        <v>45723</v>
      </c>
      <c r="D34" s="2">
        <v>190921</v>
      </c>
      <c r="E34" s="1" t="s">
        <v>535</v>
      </c>
      <c r="F34" s="1" t="s">
        <v>8</v>
      </c>
      <c r="G34" s="8">
        <v>226</v>
      </c>
    </row>
    <row r="35" spans="1:7">
      <c r="A35" s="32" t="s">
        <v>561</v>
      </c>
      <c r="B35" s="33" t="s">
        <v>562</v>
      </c>
      <c r="C35" s="4">
        <v>45734</v>
      </c>
      <c r="D35" s="2">
        <v>70652.83</v>
      </c>
      <c r="E35" s="1" t="s">
        <v>524</v>
      </c>
      <c r="F35" s="1" t="s">
        <v>8</v>
      </c>
      <c r="G35" s="8" t="s">
        <v>563</v>
      </c>
    </row>
    <row r="36" spans="1:7">
      <c r="A36" s="32" t="s">
        <v>543</v>
      </c>
      <c r="B36" s="32" t="s">
        <v>564</v>
      </c>
      <c r="C36" s="4">
        <v>45734</v>
      </c>
      <c r="D36" s="2">
        <v>91245.68</v>
      </c>
      <c r="E36" s="1" t="s">
        <v>545</v>
      </c>
      <c r="F36" s="1" t="s">
        <v>8</v>
      </c>
      <c r="G36" s="8" t="s">
        <v>565</v>
      </c>
    </row>
    <row r="37" spans="1:7">
      <c r="A37" s="34" t="s">
        <v>566</v>
      </c>
      <c r="B37" s="35" t="s">
        <v>567</v>
      </c>
      <c r="C37" s="4">
        <v>45791</v>
      </c>
      <c r="D37" s="2">
        <v>456735.32</v>
      </c>
      <c r="E37" s="1" t="s">
        <v>535</v>
      </c>
      <c r="F37" s="1" t="s">
        <v>8</v>
      </c>
    </row>
    <row r="38" spans="1:7">
      <c r="A38" s="34" t="s">
        <v>566</v>
      </c>
      <c r="B38" s="35" t="s">
        <v>568</v>
      </c>
      <c r="C38" s="4">
        <v>45791</v>
      </c>
      <c r="D38" s="2">
        <v>1474585.73</v>
      </c>
      <c r="E38" s="1" t="s">
        <v>518</v>
      </c>
      <c r="F38" s="1" t="s">
        <v>8</v>
      </c>
    </row>
    <row r="39" customFormat="1" spans="1:7">
      <c r="A39" s="7" t="s">
        <v>269</v>
      </c>
      <c r="B39" t="s">
        <v>569</v>
      </c>
      <c r="C39" s="4">
        <v>45791</v>
      </c>
      <c r="D39" s="2">
        <v>1290378.4</v>
      </c>
      <c r="E39" s="1" t="s">
        <v>545</v>
      </c>
      <c r="F39" s="1"/>
      <c r="G39" s="8"/>
    </row>
    <row r="40" spans="1:7">
      <c r="A40" s="32" t="s">
        <v>570</v>
      </c>
      <c r="B40" s="33" t="s">
        <v>571</v>
      </c>
      <c r="C40" s="4">
        <v>45807</v>
      </c>
      <c r="D40" s="2">
        <v>218213.97</v>
      </c>
      <c r="E40" s="1" t="s">
        <v>524</v>
      </c>
    </row>
    <row r="41" spans="1:7">
      <c r="A41" s="7" t="s">
        <v>572</v>
      </c>
      <c r="B41" s="1" t="s">
        <v>523</v>
      </c>
      <c r="C41" s="4">
        <v>45797</v>
      </c>
      <c r="D41" s="2">
        <v>23760</v>
      </c>
      <c r="E41" s="1" t="s">
        <v>524</v>
      </c>
    </row>
    <row r="42" spans="1:7">
      <c r="A42" s="7" t="s">
        <v>572</v>
      </c>
      <c r="B42" s="1" t="s">
        <v>523</v>
      </c>
      <c r="C42" s="4">
        <v>45797</v>
      </c>
      <c r="D42" s="2">
        <v>97720</v>
      </c>
      <c r="E42" s="1" t="s">
        <v>524</v>
      </c>
    </row>
    <row r="43" spans="1:7">
      <c r="A43" s="7" t="s">
        <v>573</v>
      </c>
      <c r="B43" s="1" t="s">
        <v>574</v>
      </c>
      <c r="C43" s="4">
        <v>45791</v>
      </c>
      <c r="D43" s="2">
        <v>525000</v>
      </c>
      <c r="E43" s="9" t="s">
        <v>540</v>
      </c>
    </row>
    <row r="44" spans="1:7">
      <c r="A44" s="7" t="s">
        <v>575</v>
      </c>
      <c r="B44" s="1" t="s">
        <v>576</v>
      </c>
      <c r="C44" s="4">
        <v>45791</v>
      </c>
      <c r="D44" s="2">
        <v>41710</v>
      </c>
      <c r="E44" s="1" t="s">
        <v>518</v>
      </c>
    </row>
    <row r="45" spans="1:7">
      <c r="A45" s="7" t="s">
        <v>573</v>
      </c>
      <c r="B45" s="1" t="s">
        <v>577</v>
      </c>
      <c r="C45" s="4">
        <v>45819</v>
      </c>
      <c r="D45" s="2">
        <v>975000</v>
      </c>
      <c r="E45" s="9" t="s">
        <v>540</v>
      </c>
    </row>
    <row r="46" spans="1:7">
      <c r="A46" s="7" t="s">
        <v>578</v>
      </c>
      <c r="B46" s="1" t="s">
        <v>579</v>
      </c>
      <c r="C46" s="4">
        <v>45824</v>
      </c>
      <c r="D46" s="2">
        <v>1211200</v>
      </c>
      <c r="E46" s="1" t="s">
        <v>535</v>
      </c>
    </row>
    <row r="47" spans="1:7">
      <c r="A47" s="7" t="s">
        <v>573</v>
      </c>
      <c r="B47" s="1" t="s">
        <v>580</v>
      </c>
      <c r="C47" s="4">
        <v>45826</v>
      </c>
      <c r="D47" s="2">
        <v>1125000</v>
      </c>
      <c r="E47" s="9" t="s">
        <v>540</v>
      </c>
    </row>
    <row r="48" spans="1:7">
      <c r="A48" s="7" t="s">
        <v>276</v>
      </c>
      <c r="B48" s="1" t="s">
        <v>581</v>
      </c>
      <c r="C48" s="4">
        <v>45828</v>
      </c>
      <c r="D48" s="2">
        <v>1744772.38</v>
      </c>
      <c r="E48" s="1" t="s">
        <v>518</v>
      </c>
    </row>
    <row r="49" spans="1:5">
      <c r="A49" s="7" t="s">
        <v>582</v>
      </c>
      <c r="B49" s="1" t="s">
        <v>583</v>
      </c>
      <c r="C49" s="4">
        <v>45846</v>
      </c>
      <c r="D49" s="2">
        <v>11437003.85</v>
      </c>
      <c r="E49" s="9" t="s">
        <v>584</v>
      </c>
    </row>
    <row r="50" spans="1:5">
      <c r="A50" s="7" t="s">
        <v>278</v>
      </c>
      <c r="B50" s="1" t="s">
        <v>585</v>
      </c>
      <c r="C50" s="4">
        <v>45846</v>
      </c>
      <c r="D50" s="2">
        <v>6806142.4</v>
      </c>
      <c r="E50" s="9" t="s">
        <v>586</v>
      </c>
    </row>
    <row r="51" spans="1:5">
      <c r="A51" s="7" t="s">
        <v>587</v>
      </c>
      <c r="B51" s="1" t="s">
        <v>588</v>
      </c>
      <c r="C51" s="4">
        <v>45846</v>
      </c>
      <c r="D51" s="2">
        <v>2525000</v>
      </c>
      <c r="E51" s="1" t="s">
        <v>518</v>
      </c>
    </row>
    <row r="52" spans="1:5">
      <c r="A52" s="7" t="s">
        <v>589</v>
      </c>
      <c r="B52" s="1" t="s">
        <v>590</v>
      </c>
      <c r="C52" s="4">
        <v>45846</v>
      </c>
      <c r="D52" s="2">
        <v>1663500</v>
      </c>
      <c r="E52" s="9" t="s">
        <v>591</v>
      </c>
    </row>
    <row r="53" spans="1:5">
      <c r="A53" s="7" t="s">
        <v>592</v>
      </c>
      <c r="B53" s="1" t="s">
        <v>593</v>
      </c>
      <c r="C53" s="4">
        <v>45846</v>
      </c>
      <c r="D53" s="2">
        <v>1522830.16</v>
      </c>
      <c r="E53" s="1" t="s">
        <v>518</v>
      </c>
    </row>
    <row r="54" spans="1:5">
      <c r="A54" s="7" t="s">
        <v>594</v>
      </c>
      <c r="B54" s="1" t="s">
        <v>595</v>
      </c>
      <c r="C54" s="4">
        <v>45848</v>
      </c>
      <c r="D54" s="2">
        <v>606163.5</v>
      </c>
      <c r="E54" s="1" t="s">
        <v>518</v>
      </c>
    </row>
    <row r="55" spans="1:5">
      <c r="A55" s="7" t="s">
        <v>596</v>
      </c>
      <c r="B55" s="1" t="s">
        <v>597</v>
      </c>
      <c r="C55" s="4">
        <v>45848</v>
      </c>
      <c r="D55" s="2">
        <v>296794</v>
      </c>
      <c r="E55" s="1" t="s">
        <v>518</v>
      </c>
    </row>
    <row r="56" spans="1:5">
      <c r="A56" s="7" t="s">
        <v>592</v>
      </c>
      <c r="B56" s="36" t="s">
        <v>598</v>
      </c>
      <c r="C56" s="4">
        <v>45848</v>
      </c>
      <c r="D56" s="2">
        <v>6145388</v>
      </c>
      <c r="E56" s="9" t="s">
        <v>599</v>
      </c>
    </row>
    <row r="57" spans="1:5">
      <c r="A57" s="7" t="s">
        <v>578</v>
      </c>
      <c r="B57" s="1" t="s">
        <v>579</v>
      </c>
      <c r="C57" s="4">
        <v>45853</v>
      </c>
      <c r="D57" s="2">
        <v>220150</v>
      </c>
      <c r="E57" s="1" t="s">
        <v>535</v>
      </c>
    </row>
    <row r="58" spans="1:5">
      <c r="A58" s="7" t="s">
        <v>600</v>
      </c>
      <c r="B58" s="1" t="s">
        <v>601</v>
      </c>
      <c r="C58" s="4">
        <v>45853</v>
      </c>
      <c r="D58" s="2">
        <v>192000</v>
      </c>
      <c r="E58" s="1" t="s">
        <v>518</v>
      </c>
    </row>
    <row r="59" spans="1:5">
      <c r="A59" s="7" t="s">
        <v>602</v>
      </c>
      <c r="B59" s="1" t="s">
        <v>603</v>
      </c>
      <c r="C59" s="4">
        <v>45855</v>
      </c>
      <c r="D59" s="2">
        <v>665260</v>
      </c>
      <c r="E59" s="1" t="s">
        <v>518</v>
      </c>
    </row>
    <row r="60" spans="1:5">
      <c r="A60" s="7" t="s">
        <v>570</v>
      </c>
      <c r="B60" s="1" t="s">
        <v>604</v>
      </c>
      <c r="C60" s="4">
        <v>45855</v>
      </c>
      <c r="D60" s="2">
        <v>115194</v>
      </c>
      <c r="E60" s="1" t="s">
        <v>524</v>
      </c>
    </row>
    <row r="61" spans="1:5">
      <c r="A61" s="7" t="s">
        <v>605</v>
      </c>
      <c r="B61" s="1" t="s">
        <v>606</v>
      </c>
      <c r="C61" s="4">
        <v>45856</v>
      </c>
      <c r="D61" s="2">
        <v>11993049.2</v>
      </c>
      <c r="E61" s="1" t="s">
        <v>545</v>
      </c>
    </row>
    <row r="62" spans="1:5">
      <c r="A62" s="7" t="s">
        <v>607</v>
      </c>
      <c r="B62" s="1" t="s">
        <v>517</v>
      </c>
      <c r="C62" s="4">
        <v>45856</v>
      </c>
      <c r="D62" s="2">
        <v>1099142.4</v>
      </c>
      <c r="E62" s="1" t="s">
        <v>524</v>
      </c>
    </row>
    <row r="63" spans="1:5">
      <c r="A63" s="7" t="s">
        <v>594</v>
      </c>
      <c r="B63" s="1" t="s">
        <v>608</v>
      </c>
      <c r="C63" s="4">
        <v>45856</v>
      </c>
      <c r="D63" s="2">
        <v>1665645.57</v>
      </c>
      <c r="E63" s="1" t="s">
        <v>535</v>
      </c>
    </row>
    <row r="64" spans="1:5">
      <c r="A64" s="7" t="s">
        <v>607</v>
      </c>
      <c r="B64" s="1" t="s">
        <v>517</v>
      </c>
      <c r="C64" s="4">
        <v>45856</v>
      </c>
      <c r="D64" s="2">
        <v>549571.2</v>
      </c>
      <c r="E64" s="1" t="s">
        <v>524</v>
      </c>
    </row>
    <row r="65" spans="1:5">
      <c r="A65" s="7" t="s">
        <v>589</v>
      </c>
      <c r="B65" s="1" t="s">
        <v>609</v>
      </c>
      <c r="C65" s="4">
        <v>45856</v>
      </c>
      <c r="D65" s="2">
        <v>369000</v>
      </c>
      <c r="E65" s="9" t="s">
        <v>591</v>
      </c>
    </row>
    <row r="66" spans="1:5">
      <c r="A66" s="7" t="s">
        <v>594</v>
      </c>
      <c r="B66" s="1" t="s">
        <v>545</v>
      </c>
      <c r="C66" s="4">
        <v>45861</v>
      </c>
      <c r="D66" s="2">
        <v>1611502.08</v>
      </c>
      <c r="E66" s="1" t="s">
        <v>545</v>
      </c>
    </row>
    <row r="67" spans="1:5">
      <c r="A67" s="7" t="s">
        <v>610</v>
      </c>
      <c r="B67" s="1" t="s">
        <v>611</v>
      </c>
      <c r="C67" s="4">
        <v>45880</v>
      </c>
      <c r="D67" s="2">
        <v>1500000</v>
      </c>
      <c r="E67" s="9" t="s">
        <v>540</v>
      </c>
    </row>
    <row r="68" spans="1:5">
      <c r="A68" s="7" t="s">
        <v>612</v>
      </c>
      <c r="B68" s="1" t="s">
        <v>613</v>
      </c>
      <c r="C68" s="4">
        <v>45881</v>
      </c>
      <c r="D68" s="2">
        <v>673200</v>
      </c>
      <c r="E68" s="1" t="s">
        <v>545</v>
      </c>
    </row>
    <row r="69" spans="1:5">
      <c r="A69" s="7" t="s">
        <v>612</v>
      </c>
      <c r="B69" s="1" t="s">
        <v>614</v>
      </c>
      <c r="C69" s="4">
        <v>45881</v>
      </c>
      <c r="D69" s="2">
        <v>152592.3</v>
      </c>
      <c r="E69" s="1" t="s">
        <v>518</v>
      </c>
    </row>
    <row r="70" spans="1:5">
      <c r="A70" s="7" t="s">
        <v>615</v>
      </c>
      <c r="B70" s="1" t="s">
        <v>616</v>
      </c>
      <c r="C70" s="4">
        <v>45882</v>
      </c>
      <c r="D70" s="2">
        <v>5988363.95</v>
      </c>
      <c r="E70" s="1" t="s">
        <v>518</v>
      </c>
    </row>
    <row r="71" spans="1:5">
      <c r="A71" s="7" t="s">
        <v>570</v>
      </c>
      <c r="B71" s="1" t="s">
        <v>617</v>
      </c>
      <c r="C71" s="4">
        <v>45883</v>
      </c>
      <c r="D71" s="2">
        <v>1424096.91</v>
      </c>
      <c r="E71" s="1" t="s">
        <v>524</v>
      </c>
    </row>
    <row r="72" spans="1:5">
      <c r="A72" s="7" t="s">
        <v>347</v>
      </c>
      <c r="B72" s="1" t="s">
        <v>618</v>
      </c>
      <c r="C72" s="4">
        <v>45888</v>
      </c>
      <c r="D72" s="2">
        <v>335448</v>
      </c>
      <c r="E72" s="12" t="s">
        <v>619</v>
      </c>
    </row>
    <row r="73" spans="1:5">
      <c r="A73" s="7" t="s">
        <v>578</v>
      </c>
      <c r="B73" s="1" t="s">
        <v>620</v>
      </c>
      <c r="C73" s="4">
        <v>45888</v>
      </c>
      <c r="D73" s="2">
        <v>9624950</v>
      </c>
      <c r="E73" s="1" t="s">
        <v>535</v>
      </c>
    </row>
    <row r="74" spans="1:5">
      <c r="A74" s="7" t="s">
        <v>615</v>
      </c>
      <c r="B74" s="1" t="s">
        <v>616</v>
      </c>
      <c r="C74" s="4">
        <v>45889</v>
      </c>
      <c r="D74" s="2">
        <v>2030559.4</v>
      </c>
      <c r="E74" s="1" t="s">
        <v>518</v>
      </c>
    </row>
    <row r="75" spans="1:5">
      <c r="A75" s="7" t="s">
        <v>578</v>
      </c>
      <c r="B75" s="1" t="s">
        <v>621</v>
      </c>
      <c r="C75" s="4">
        <v>45898</v>
      </c>
      <c r="D75" s="2">
        <v>369100</v>
      </c>
      <c r="E75" s="1" t="s">
        <v>518</v>
      </c>
    </row>
    <row r="76" spans="1:5">
      <c r="A76" s="7" t="s">
        <v>592</v>
      </c>
      <c r="B76" s="1" t="s">
        <v>622</v>
      </c>
      <c r="C76" s="4">
        <v>45898</v>
      </c>
      <c r="D76" s="2">
        <v>2206800</v>
      </c>
      <c r="E76" s="1" t="s">
        <v>518</v>
      </c>
    </row>
    <row r="77" spans="1:5">
      <c r="A77" s="7" t="s">
        <v>594</v>
      </c>
      <c r="B77" s="1" t="s">
        <v>623</v>
      </c>
      <c r="C77" s="4">
        <v>45898</v>
      </c>
      <c r="D77" s="2">
        <v>1992040</v>
      </c>
      <c r="E77" s="1" t="s">
        <v>518</v>
      </c>
    </row>
    <row r="78" spans="1:5">
      <c r="A78" s="7" t="s">
        <v>605</v>
      </c>
      <c r="B78" s="1" t="s">
        <v>624</v>
      </c>
      <c r="C78" s="4">
        <v>45898</v>
      </c>
      <c r="D78" s="2">
        <v>5576400</v>
      </c>
      <c r="E78" s="1" t="s">
        <v>545</v>
      </c>
    </row>
    <row r="79" spans="1:5">
      <c r="A79" s="7" t="s">
        <v>276</v>
      </c>
      <c r="B79" s="1" t="s">
        <v>625</v>
      </c>
      <c r="C79" s="4">
        <v>45898</v>
      </c>
      <c r="D79" s="2">
        <v>498757.5</v>
      </c>
      <c r="E79" s="1" t="s">
        <v>518</v>
      </c>
    </row>
    <row r="80" spans="1:5">
      <c r="A80" s="7" t="s">
        <v>276</v>
      </c>
      <c r="B80" s="1" t="s">
        <v>625</v>
      </c>
      <c r="C80" s="4">
        <v>45898</v>
      </c>
      <c r="D80" s="2">
        <v>60927.5</v>
      </c>
      <c r="E80" s="1" t="s">
        <v>518</v>
      </c>
    </row>
    <row r="81" spans="1:5">
      <c r="A81" s="7" t="s">
        <v>589</v>
      </c>
      <c r="B81" s="1" t="s">
        <v>626</v>
      </c>
      <c r="C81" s="4">
        <v>45908</v>
      </c>
      <c r="D81" s="2">
        <v>4602000</v>
      </c>
      <c r="E81" s="9" t="s">
        <v>591</v>
      </c>
    </row>
    <row r="82" spans="1:5">
      <c r="A82" s="7" t="s">
        <v>627</v>
      </c>
      <c r="B82" s="1" t="s">
        <v>628</v>
      </c>
      <c r="C82" s="4">
        <v>45915</v>
      </c>
      <c r="D82" s="2">
        <v>500000</v>
      </c>
      <c r="E82" s="9" t="s">
        <v>629</v>
      </c>
    </row>
    <row r="83" spans="1:5">
      <c r="A83" s="7" t="s">
        <v>587</v>
      </c>
      <c r="B83" s="1" t="s">
        <v>630</v>
      </c>
      <c r="C83" s="4">
        <v>45917</v>
      </c>
      <c r="D83" s="2">
        <v>1250000</v>
      </c>
      <c r="E83" s="1" t="s">
        <v>518</v>
      </c>
    </row>
    <row r="84" spans="1:5">
      <c r="A84" s="7" t="s">
        <v>278</v>
      </c>
      <c r="B84" s="1" t="s">
        <v>631</v>
      </c>
      <c r="C84" s="4">
        <v>45923</v>
      </c>
      <c r="D84" s="2">
        <v>153107.5</v>
      </c>
      <c r="E84" s="7" t="s">
        <v>619</v>
      </c>
    </row>
    <row r="85" spans="1:5">
      <c r="A85" s="7" t="s">
        <v>594</v>
      </c>
      <c r="B85" s="1" t="s">
        <v>632</v>
      </c>
      <c r="C85" s="4">
        <v>45929</v>
      </c>
      <c r="D85" s="2">
        <v>4562988.53</v>
      </c>
      <c r="E85" s="7" t="s">
        <v>619</v>
      </c>
    </row>
    <row r="86" spans="1:5">
      <c r="A86" s="7" t="s">
        <v>633</v>
      </c>
      <c r="B86" s="1" t="s">
        <v>634</v>
      </c>
      <c r="C86" s="4">
        <v>45929</v>
      </c>
      <c r="D86" s="2">
        <v>2771470</v>
      </c>
      <c r="E86" s="1" t="s">
        <v>524</v>
      </c>
    </row>
    <row r="87" spans="1:5">
      <c r="A87" s="7" t="s">
        <v>635</v>
      </c>
      <c r="B87" s="1" t="s">
        <v>526</v>
      </c>
      <c r="C87" s="4">
        <v>45929</v>
      </c>
      <c r="D87" s="2">
        <v>2072810</v>
      </c>
      <c r="E87" s="1" t="s">
        <v>518</v>
      </c>
    </row>
    <row r="88" spans="1:5">
      <c r="A88" s="7" t="s">
        <v>612</v>
      </c>
      <c r="B88" s="1" t="s">
        <v>636</v>
      </c>
      <c r="C88" s="4">
        <v>45929</v>
      </c>
      <c r="D88" s="2">
        <v>2249335.86</v>
      </c>
      <c r="E88" s="1" t="s">
        <v>518</v>
      </c>
    </row>
    <row r="89" spans="1:5">
      <c r="A89" s="7" t="s">
        <v>561</v>
      </c>
      <c r="B89" s="1" t="s">
        <v>637</v>
      </c>
      <c r="C89" s="4">
        <v>45929</v>
      </c>
      <c r="D89" s="2">
        <v>1022926.93</v>
      </c>
      <c r="E89" s="1" t="s">
        <v>524</v>
      </c>
    </row>
    <row r="90" spans="1:5">
      <c r="A90" s="7" t="s">
        <v>638</v>
      </c>
      <c r="B90" s="1" t="s">
        <v>639</v>
      </c>
      <c r="C90" s="4">
        <v>45929</v>
      </c>
      <c r="D90" s="2">
        <v>212399.92</v>
      </c>
      <c r="E90" s="7" t="s">
        <v>619</v>
      </c>
    </row>
    <row r="91" spans="1:5">
      <c r="A91" s="7" t="s">
        <v>612</v>
      </c>
      <c r="B91" s="1" t="s">
        <v>595</v>
      </c>
      <c r="C91" s="4">
        <v>45929</v>
      </c>
      <c r="D91" s="2">
        <v>224522.4</v>
      </c>
      <c r="E91" s="7" t="s">
        <v>619</v>
      </c>
    </row>
    <row r="92" spans="1:5">
      <c r="A92" s="7" t="s">
        <v>640</v>
      </c>
      <c r="B92" s="1" t="s">
        <v>641</v>
      </c>
      <c r="C92" s="4">
        <v>45929</v>
      </c>
      <c r="D92" s="2">
        <v>421640</v>
      </c>
      <c r="E92" s="7" t="s">
        <v>619</v>
      </c>
    </row>
    <row r="93" spans="1:5">
      <c r="A93" s="7" t="s">
        <v>570</v>
      </c>
      <c r="B93" s="1" t="s">
        <v>642</v>
      </c>
      <c r="C93" s="4">
        <v>45929</v>
      </c>
      <c r="D93" s="2">
        <v>679511.2</v>
      </c>
      <c r="E93" s="1" t="s">
        <v>524</v>
      </c>
    </row>
    <row r="94" spans="1:5">
      <c r="A94" s="7" t="s">
        <v>610</v>
      </c>
      <c r="B94" s="1" t="s">
        <v>643</v>
      </c>
      <c r="C94" s="4">
        <v>45929</v>
      </c>
      <c r="D94" s="2">
        <v>800000</v>
      </c>
      <c r="E94" s="9" t="s">
        <v>540</v>
      </c>
    </row>
    <row r="95" spans="1:5">
      <c r="A95" s="7" t="s">
        <v>640</v>
      </c>
      <c r="B95" s="1" t="s">
        <v>644</v>
      </c>
      <c r="C95" s="4">
        <v>45932</v>
      </c>
      <c r="D95" s="2">
        <v>2321558</v>
      </c>
      <c r="E95" s="1" t="s">
        <v>518</v>
      </c>
    </row>
    <row r="96" spans="1:5">
      <c r="A96" s="7" t="s">
        <v>627</v>
      </c>
      <c r="B96" s="1" t="s">
        <v>645</v>
      </c>
      <c r="C96" s="4">
        <v>45936</v>
      </c>
      <c r="D96" s="2">
        <v>1680000</v>
      </c>
      <c r="E96" s="9" t="s">
        <v>646</v>
      </c>
    </row>
    <row r="97" spans="1:7">
      <c r="A97" s="7" t="s">
        <v>605</v>
      </c>
      <c r="B97" s="1" t="s">
        <v>647</v>
      </c>
      <c r="C97" s="4">
        <v>45939</v>
      </c>
      <c r="D97" s="2">
        <v>3808640</v>
      </c>
      <c r="E97" s="7" t="s">
        <v>545</v>
      </c>
    </row>
    <row r="98" spans="1:7">
      <c r="A98" s="7" t="s">
        <v>648</v>
      </c>
      <c r="B98" s="1" t="s">
        <v>649</v>
      </c>
      <c r="C98" s="4">
        <v>45944</v>
      </c>
      <c r="D98" s="2">
        <v>774590.6</v>
      </c>
      <c r="E98" s="1" t="s">
        <v>518</v>
      </c>
    </row>
    <row r="99" spans="1:7">
      <c r="A99" s="7" t="s">
        <v>650</v>
      </c>
      <c r="B99" s="1" t="s">
        <v>651</v>
      </c>
      <c r="C99" s="4">
        <v>45945</v>
      </c>
      <c r="D99" s="2">
        <v>709681.5</v>
      </c>
      <c r="E99" s="7" t="s">
        <v>619</v>
      </c>
    </row>
    <row r="100" spans="1:7">
      <c r="A100" s="7" t="s">
        <v>648</v>
      </c>
      <c r="B100" s="1" t="s">
        <v>652</v>
      </c>
      <c r="C100" s="4">
        <v>45950</v>
      </c>
      <c r="D100" s="2">
        <v>5992</v>
      </c>
      <c r="E100" s="1" t="s">
        <v>518</v>
      </c>
    </row>
    <row r="101" spans="1:7">
      <c r="A101" s="7" t="s">
        <v>648</v>
      </c>
      <c r="B101" s="1" t="s">
        <v>653</v>
      </c>
      <c r="C101" s="4">
        <v>45959</v>
      </c>
      <c r="D101" s="2">
        <v>110000</v>
      </c>
      <c r="E101" s="1" t="s">
        <v>518</v>
      </c>
    </row>
    <row r="102" spans="1:7">
      <c r="A102" s="7" t="s">
        <v>648</v>
      </c>
      <c r="B102" s="1" t="s">
        <v>653</v>
      </c>
      <c r="C102" s="4">
        <v>45966</v>
      </c>
      <c r="D102" s="2">
        <v>55000</v>
      </c>
      <c r="E102" s="1" t="s">
        <v>518</v>
      </c>
    </row>
    <row r="103" spans="1:7">
      <c r="A103" s="7" t="s">
        <v>605</v>
      </c>
      <c r="B103" s="1" t="s">
        <v>647</v>
      </c>
      <c r="C103" s="4">
        <v>46003</v>
      </c>
      <c r="D103" s="2">
        <v>10635360</v>
      </c>
      <c r="E103" s="7" t="s">
        <v>545</v>
      </c>
    </row>
    <row r="104" spans="1:7">
      <c r="A104" s="7" t="s">
        <v>582</v>
      </c>
      <c r="B104" s="1" t="s">
        <v>654</v>
      </c>
      <c r="C104" s="4">
        <v>46006</v>
      </c>
      <c r="D104" s="2">
        <v>2080619.58</v>
      </c>
      <c r="E104" s="7" t="s">
        <v>619</v>
      </c>
    </row>
    <row r="105" spans="1:7">
      <c r="A105" s="7" t="s">
        <v>655</v>
      </c>
      <c r="B105" s="1" t="s">
        <v>656</v>
      </c>
      <c r="C105" s="4">
        <v>46006</v>
      </c>
      <c r="D105" s="2">
        <v>1487364.5</v>
      </c>
      <c r="E105" s="7" t="s">
        <v>619</v>
      </c>
    </row>
    <row r="106" spans="1:7">
      <c r="A106" s="7" t="s">
        <v>612</v>
      </c>
      <c r="B106" s="1" t="s">
        <v>657</v>
      </c>
      <c r="C106" s="4">
        <v>46006</v>
      </c>
      <c r="D106" s="2">
        <v>566680.31</v>
      </c>
      <c r="E106" s="7" t="s">
        <v>545</v>
      </c>
    </row>
    <row r="107" spans="1:7">
      <c r="A107" s="7" t="s">
        <v>658</v>
      </c>
      <c r="B107" s="1" t="s">
        <v>659</v>
      </c>
      <c r="C107" s="4">
        <v>46006</v>
      </c>
      <c r="D107" s="2">
        <v>108400</v>
      </c>
      <c r="E107" s="7" t="s">
        <v>619</v>
      </c>
    </row>
    <row r="108" spans="1:7">
      <c r="A108" s="7" t="s">
        <v>594</v>
      </c>
      <c r="B108" s="1" t="s">
        <v>660</v>
      </c>
      <c r="C108" s="4">
        <v>46008</v>
      </c>
      <c r="D108" s="2">
        <v>3765289.43</v>
      </c>
      <c r="E108" s="1" t="s">
        <v>518</v>
      </c>
    </row>
    <row r="109" customFormat="1" spans="1:7">
      <c r="A109" s="7" t="s">
        <v>594</v>
      </c>
      <c r="B109" t="s">
        <v>660</v>
      </c>
      <c r="C109" s="4">
        <v>46009</v>
      </c>
      <c r="D109" s="2">
        <v>210615.04</v>
      </c>
      <c r="E109" s="1" t="s">
        <v>518</v>
      </c>
      <c r="F109" s="1"/>
      <c r="G109" s="8"/>
    </row>
    <row r="110" spans="1:7">
      <c r="A110" s="7" t="s">
        <v>661</v>
      </c>
      <c r="B110" s="1" t="s">
        <v>662</v>
      </c>
      <c r="C110" s="4">
        <v>46010</v>
      </c>
      <c r="D110" s="2">
        <v>734158.8</v>
      </c>
      <c r="E110" s="1" t="s">
        <v>518</v>
      </c>
    </row>
    <row r="111" spans="1:7">
      <c r="A111" s="7" t="s">
        <v>635</v>
      </c>
      <c r="B111" s="1" t="s">
        <v>526</v>
      </c>
      <c r="C111" s="4">
        <v>46014</v>
      </c>
      <c r="D111" s="2">
        <v>5850000</v>
      </c>
      <c r="E111" s="1" t="s">
        <v>518</v>
      </c>
    </row>
    <row r="112" spans="1:7">
      <c r="A112" s="7" t="s">
        <v>663</v>
      </c>
      <c r="B112" s="1" t="s">
        <v>664</v>
      </c>
      <c r="C112" s="4">
        <v>46016</v>
      </c>
      <c r="D112" s="2">
        <v>875250</v>
      </c>
      <c r="E112" s="7" t="s">
        <v>619</v>
      </c>
    </row>
    <row r="113" spans="1:5">
      <c r="A113" s="7" t="s">
        <v>665</v>
      </c>
      <c r="B113" s="1" t="s">
        <v>666</v>
      </c>
      <c r="C113" s="4">
        <v>46017</v>
      </c>
      <c r="D113" s="2">
        <v>10514253.59</v>
      </c>
      <c r="E113" s="7" t="s">
        <v>619</v>
      </c>
    </row>
    <row r="114" spans="1:5">
      <c r="A114" s="7" t="s">
        <v>592</v>
      </c>
      <c r="B114" s="1" t="s">
        <v>667</v>
      </c>
      <c r="C114" s="4">
        <v>46017</v>
      </c>
      <c r="D114" s="2">
        <v>2179018</v>
      </c>
      <c r="E114" s="1" t="s">
        <v>518</v>
      </c>
    </row>
    <row r="115" spans="1:5">
      <c r="A115" s="7" t="s">
        <v>578</v>
      </c>
      <c r="B115" s="1" t="s">
        <v>668</v>
      </c>
      <c r="C115" s="4">
        <v>46017</v>
      </c>
      <c r="D115" s="2">
        <v>183000</v>
      </c>
      <c r="E115" s="1" t="s">
        <v>518</v>
      </c>
    </row>
    <row r="116" spans="1:5">
      <c r="A116" s="7" t="s">
        <v>578</v>
      </c>
      <c r="B116" s="1" t="s">
        <v>668</v>
      </c>
      <c r="C116" s="4">
        <v>46017</v>
      </c>
      <c r="D116" s="2">
        <v>2816510</v>
      </c>
      <c r="E116" s="1" t="s">
        <v>518</v>
      </c>
    </row>
    <row r="117" spans="1:5">
      <c r="A117" s="7" t="s">
        <v>280</v>
      </c>
      <c r="B117" s="1" t="s">
        <v>669</v>
      </c>
      <c r="C117" s="4">
        <v>46017</v>
      </c>
      <c r="D117" s="2">
        <v>4992832.59</v>
      </c>
      <c r="E117" s="1" t="s">
        <v>518</v>
      </c>
    </row>
    <row r="118" spans="1:5">
      <c r="A118" s="7" t="s">
        <v>596</v>
      </c>
      <c r="B118" s="1" t="s">
        <v>670</v>
      </c>
      <c r="C118" s="4">
        <v>46017</v>
      </c>
      <c r="D118" s="2">
        <v>1349020</v>
      </c>
      <c r="E118" s="1" t="s">
        <v>518</v>
      </c>
    </row>
    <row r="119" spans="1:5">
      <c r="A119" s="7" t="s">
        <v>605</v>
      </c>
      <c r="B119" s="1" t="s">
        <v>545</v>
      </c>
      <c r="C119" s="4">
        <v>46017</v>
      </c>
      <c r="D119" s="2">
        <v>560140</v>
      </c>
      <c r="E119" s="7" t="s">
        <v>545</v>
      </c>
    </row>
    <row r="120" spans="1:5">
      <c r="A120" s="7" t="s">
        <v>605</v>
      </c>
      <c r="B120" s="1" t="s">
        <v>671</v>
      </c>
      <c r="C120" s="4">
        <v>46017</v>
      </c>
      <c r="D120" s="2">
        <v>627860.79</v>
      </c>
      <c r="E120" s="7" t="s">
        <v>545</v>
      </c>
    </row>
  </sheetData>
  <autoFilter xmlns:etc="http://www.wps.cn/officeDocument/2017/etCustomData" ref="A1:G120" etc:filterBottomFollowUsedRange="0">
    <extLst/>
  </autoFilter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D19" sqref="D19"/>
    </sheetView>
  </sheetViews>
  <sheetFormatPr defaultColWidth="9.16071428571429" defaultRowHeight="17.6" outlineLevelCol="6"/>
  <cols>
    <col min="1" max="1" width="34.8303571428571" style="1" customWidth="1"/>
    <col min="2" max="2" width="54.3303571428571" customWidth="1"/>
    <col min="3" max="3" width="12" style="1" customWidth="1"/>
    <col min="4" max="4" width="17.2053571428571" style="2" customWidth="1"/>
    <col min="5" max="5" width="12.5" style="1" customWidth="1"/>
    <col min="6" max="7" width="8.5" style="1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30" t="s">
        <v>127</v>
      </c>
      <c r="B2" s="29" t="s">
        <v>672</v>
      </c>
      <c r="C2" s="13">
        <v>45685</v>
      </c>
      <c r="D2" s="2">
        <v>2611072.33</v>
      </c>
      <c r="E2" s="1" t="s">
        <v>673</v>
      </c>
    </row>
    <row r="3" spans="1:7">
      <c r="A3" s="30" t="s">
        <v>127</v>
      </c>
      <c r="B3" s="29"/>
      <c r="C3" s="13">
        <v>45713</v>
      </c>
      <c r="D3" s="2">
        <v>2611072.33</v>
      </c>
      <c r="E3" s="1" t="s">
        <v>673</v>
      </c>
    </row>
    <row r="4" spans="1:7">
      <c r="A4" s="30" t="s">
        <v>127</v>
      </c>
      <c r="C4" s="13">
        <v>45743</v>
      </c>
      <c r="D4" s="2">
        <v>2611072.33</v>
      </c>
      <c r="E4" s="1" t="s">
        <v>673</v>
      </c>
    </row>
    <row r="5" spans="1:7">
      <c r="A5" s="30" t="s">
        <v>127</v>
      </c>
      <c r="B5" s="29" t="s">
        <v>674</v>
      </c>
      <c r="C5" s="13">
        <v>45775</v>
      </c>
      <c r="D5" s="2">
        <v>603190</v>
      </c>
      <c r="E5" s="1" t="s">
        <v>673</v>
      </c>
    </row>
    <row r="6" spans="1:7">
      <c r="A6" s="30" t="s">
        <v>127</v>
      </c>
      <c r="C6" s="13">
        <v>45804</v>
      </c>
      <c r="D6" s="2">
        <v>603190</v>
      </c>
      <c r="E6" s="1" t="s">
        <v>673</v>
      </c>
    </row>
    <row r="7" spans="1:7">
      <c r="A7" s="30" t="s">
        <v>127</v>
      </c>
      <c r="C7" s="13">
        <v>45833</v>
      </c>
      <c r="D7" s="2">
        <v>603188</v>
      </c>
      <c r="E7" s="1" t="s">
        <v>673</v>
      </c>
    </row>
    <row r="8" spans="1:7">
      <c r="A8" s="30" t="s">
        <v>127</v>
      </c>
      <c r="C8" s="13">
        <v>45866</v>
      </c>
      <c r="D8" s="2">
        <v>36515537</v>
      </c>
      <c r="E8" s="1" t="s">
        <v>673</v>
      </c>
    </row>
    <row r="9" spans="1:7">
      <c r="A9" s="30" t="s">
        <v>127</v>
      </c>
      <c r="B9" t="s">
        <v>675</v>
      </c>
      <c r="C9" s="13">
        <v>45890</v>
      </c>
      <c r="D9" s="2">
        <v>66150</v>
      </c>
      <c r="E9" s="1" t="s">
        <v>673</v>
      </c>
    </row>
    <row r="10" spans="1:7">
      <c r="A10" s="30" t="s">
        <v>127</v>
      </c>
      <c r="C10" s="13">
        <v>45891</v>
      </c>
      <c r="D10" s="2">
        <v>36581687</v>
      </c>
      <c r="E10" s="1" t="s">
        <v>673</v>
      </c>
    </row>
    <row r="11" spans="1:7">
      <c r="A11" s="1" t="s">
        <v>127</v>
      </c>
      <c r="B11" s="2" t="s">
        <v>673</v>
      </c>
      <c r="C11" s="13">
        <v>45926</v>
      </c>
      <c r="D11" s="2">
        <v>36581687</v>
      </c>
      <c r="E11" s="1" t="s">
        <v>673</v>
      </c>
    </row>
    <row r="15" spans="1:7">
      <c r="C15" s="11"/>
    </row>
    <row r="18" spans="3:3">
      <c r="C18" s="11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E27" sqref="E27"/>
    </sheetView>
  </sheetViews>
  <sheetFormatPr defaultColWidth="9.16071428571429" defaultRowHeight="17.6" outlineLevelCol="4"/>
  <cols>
    <col min="1" max="1" width="12" customWidth="1"/>
    <col min="2" max="2" width="14.6607142857143" style="2" customWidth="1"/>
    <col min="3" max="3" width="12.5" customWidth="1"/>
    <col min="4" max="4" width="8.5" style="1" customWidth="1"/>
    <col min="5" max="5" width="32.1428571428571" customWidth="1"/>
  </cols>
  <sheetData>
    <row r="1" s="1" customFormat="1" spans="1:5">
      <c r="A1" s="1" t="s">
        <v>2</v>
      </c>
      <c r="B1" s="3" t="s">
        <v>3</v>
      </c>
      <c r="C1" s="1" t="s">
        <v>4</v>
      </c>
      <c r="D1" s="1" t="s">
        <v>5</v>
      </c>
      <c r="E1" s="1" t="s">
        <v>1</v>
      </c>
    </row>
    <row r="2" spans="1:5">
      <c r="A2" s="4">
        <v>45679</v>
      </c>
      <c r="B2" s="2">
        <v>11000</v>
      </c>
      <c r="C2" s="4" t="s">
        <v>676</v>
      </c>
      <c r="D2" s="1" t="s">
        <v>8</v>
      </c>
      <c r="E2" s="29" t="s">
        <v>677</v>
      </c>
    </row>
    <row r="3" spans="1:5">
      <c r="A3" s="4">
        <v>45677</v>
      </c>
      <c r="B3" s="2">
        <v>40000</v>
      </c>
      <c r="C3" s="4" t="s">
        <v>30</v>
      </c>
      <c r="E3" s="29"/>
    </row>
    <row r="4" spans="1:5">
      <c r="A4" s="4">
        <v>45687</v>
      </c>
      <c r="B4" s="2">
        <v>1900000</v>
      </c>
      <c r="C4" s="4" t="s">
        <v>678</v>
      </c>
      <c r="D4" s="1" t="s">
        <v>8</v>
      </c>
    </row>
    <row r="5" spans="1:5">
      <c r="A5" s="4">
        <v>45687</v>
      </c>
      <c r="B5" s="2">
        <v>6800000</v>
      </c>
      <c r="C5" s="4" t="s">
        <v>678</v>
      </c>
      <c r="D5" s="1" t="s">
        <v>12</v>
      </c>
    </row>
    <row r="6" spans="1:5">
      <c r="A6" s="4">
        <v>45688</v>
      </c>
      <c r="B6" s="2">
        <v>200000</v>
      </c>
      <c r="C6" s="4" t="s">
        <v>678</v>
      </c>
      <c r="D6" s="1" t="s">
        <v>12</v>
      </c>
    </row>
    <row r="7" spans="1:5">
      <c r="A7" s="4">
        <v>45621</v>
      </c>
      <c r="B7" s="2">
        <v>11000</v>
      </c>
      <c r="C7" s="4" t="s">
        <v>676</v>
      </c>
      <c r="D7" s="1" t="s">
        <v>8</v>
      </c>
      <c r="E7" s="29" t="s">
        <v>679</v>
      </c>
    </row>
    <row r="8" spans="1:5">
      <c r="A8" s="4">
        <v>45651</v>
      </c>
      <c r="B8" s="2">
        <v>11000</v>
      </c>
      <c r="C8" s="4" t="s">
        <v>676</v>
      </c>
      <c r="D8" s="1" t="s">
        <v>8</v>
      </c>
      <c r="E8" s="29" t="s">
        <v>680</v>
      </c>
    </row>
    <row r="9" spans="1:5">
      <c r="A9" s="4">
        <v>45797</v>
      </c>
      <c r="B9" s="2">
        <v>33000</v>
      </c>
      <c r="C9" s="4" t="s">
        <v>676</v>
      </c>
      <c r="D9" s="1" t="s">
        <v>8</v>
      </c>
      <c r="E9" t="s">
        <v>681</v>
      </c>
    </row>
    <row r="10" spans="1:5">
      <c r="A10" s="4">
        <v>45825</v>
      </c>
      <c r="B10" s="2">
        <v>19000</v>
      </c>
      <c r="C10" s="4" t="s">
        <v>676</v>
      </c>
      <c r="D10" s="1" t="s">
        <v>8</v>
      </c>
      <c r="E10" t="s">
        <v>682</v>
      </c>
    </row>
    <row r="11" spans="1:5">
      <c r="A11" s="11"/>
    </row>
    <row r="12" spans="1:5">
      <c r="A12" s="11"/>
    </row>
    <row r="23" spans="1:1">
      <c r="A23" s="11"/>
    </row>
    <row r="26" spans="1:1">
      <c r="A26" s="11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opLeftCell="B18" workbookViewId="0">
      <selection activeCell="E36" sqref="E36:E48"/>
    </sheetView>
  </sheetViews>
  <sheetFormatPr defaultColWidth="9.16071428571429" defaultRowHeight="17.6" outlineLevelCol="6"/>
  <cols>
    <col min="1" max="1" width="38.2232142857143" style="7" customWidth="1"/>
    <col min="2" max="2" width="40.1428571428571" style="7" customWidth="1"/>
    <col min="3" max="3" width="12" customWidth="1"/>
    <col min="4" max="4" width="16.3303571428571" style="2" customWidth="1"/>
    <col min="5" max="5" width="38.2232142857143" style="7" customWidth="1"/>
    <col min="6" max="6" width="5.0625" style="7" customWidth="1"/>
    <col min="7" max="7" width="4.49107142857143" style="28" customWidth="1"/>
    <col min="9" max="9" width="11.3303571428571" customWidth="1"/>
  </cols>
  <sheetData>
    <row r="1" s="1" customFormat="1" ht="18" spans="1:7">
      <c r="A1" s="7" t="s">
        <v>0</v>
      </c>
      <c r="B1" s="7" t="s">
        <v>683</v>
      </c>
      <c r="C1" s="1" t="s">
        <v>2</v>
      </c>
      <c r="D1" s="3" t="s">
        <v>3</v>
      </c>
      <c r="E1" s="7" t="s">
        <v>263</v>
      </c>
      <c r="F1" s="7" t="s">
        <v>684</v>
      </c>
      <c r="G1" s="28" t="s">
        <v>685</v>
      </c>
    </row>
    <row r="2" ht="18" spans="1:7">
      <c r="A2" s="7" t="s">
        <v>686</v>
      </c>
      <c r="B2" s="1" t="s">
        <v>687</v>
      </c>
      <c r="C2" s="4">
        <v>45720</v>
      </c>
      <c r="D2" s="2">
        <v>22500</v>
      </c>
      <c r="E2" s="7" t="s">
        <v>686</v>
      </c>
      <c r="F2" s="7" t="s">
        <v>8</v>
      </c>
      <c r="G2" s="28">
        <v>182</v>
      </c>
    </row>
    <row r="3" ht="18" spans="1:7">
      <c r="A3" s="7" t="s">
        <v>688</v>
      </c>
      <c r="B3" s="7" t="s">
        <v>689</v>
      </c>
      <c r="C3" s="4">
        <v>45720</v>
      </c>
      <c r="D3" s="2">
        <v>164300</v>
      </c>
      <c r="E3" s="7" t="s">
        <v>688</v>
      </c>
      <c r="F3" s="7" t="s">
        <v>8</v>
      </c>
      <c r="G3" s="28">
        <v>183</v>
      </c>
    </row>
    <row r="4" ht="18" spans="1:7">
      <c r="A4" s="7" t="s">
        <v>688</v>
      </c>
      <c r="B4" s="7" t="s">
        <v>690</v>
      </c>
      <c r="C4" s="4">
        <v>45720</v>
      </c>
      <c r="D4" s="2">
        <v>707500</v>
      </c>
      <c r="E4" s="7" t="s">
        <v>688</v>
      </c>
      <c r="F4" s="7" t="s">
        <v>8</v>
      </c>
      <c r="G4" s="28">
        <v>183</v>
      </c>
    </row>
    <row r="5" ht="18" spans="1:7">
      <c r="A5" s="7" t="s">
        <v>688</v>
      </c>
      <c r="B5" s="1" t="s">
        <v>691</v>
      </c>
      <c r="C5" s="4">
        <v>45720</v>
      </c>
      <c r="D5" s="2">
        <v>460500</v>
      </c>
      <c r="E5" s="7" t="s">
        <v>688</v>
      </c>
      <c r="F5" s="7" t="s">
        <v>8</v>
      </c>
      <c r="G5" s="28">
        <v>183</v>
      </c>
    </row>
    <row r="6" ht="18" spans="1:7">
      <c r="A6" s="7" t="s">
        <v>688</v>
      </c>
      <c r="B6" s="1" t="s">
        <v>692</v>
      </c>
      <c r="C6" s="4">
        <v>45720</v>
      </c>
      <c r="D6" s="2">
        <v>178600</v>
      </c>
      <c r="E6" s="7" t="s">
        <v>688</v>
      </c>
      <c r="F6" s="7" t="s">
        <v>8</v>
      </c>
      <c r="G6" s="28">
        <v>183</v>
      </c>
    </row>
    <row r="7" ht="18" spans="1:7">
      <c r="A7" s="7" t="s">
        <v>688</v>
      </c>
      <c r="B7" s="1" t="s">
        <v>693</v>
      </c>
      <c r="C7" s="4">
        <v>45728</v>
      </c>
      <c r="D7" s="2">
        <v>1181500</v>
      </c>
      <c r="E7" s="7" t="s">
        <v>688</v>
      </c>
      <c r="F7" s="7" t="s">
        <v>8</v>
      </c>
      <c r="G7" s="28" t="s">
        <v>694</v>
      </c>
    </row>
    <row r="8" spans="1:7">
      <c r="A8" s="7" t="s">
        <v>686</v>
      </c>
      <c r="B8" s="7" t="s">
        <v>695</v>
      </c>
      <c r="C8" s="4">
        <v>45791</v>
      </c>
      <c r="D8" s="2">
        <v>2343000</v>
      </c>
      <c r="E8" s="7" t="s">
        <v>686</v>
      </c>
      <c r="F8" s="7" t="s">
        <v>8</v>
      </c>
      <c r="G8" s="28" t="s">
        <v>696</v>
      </c>
    </row>
    <row r="9" spans="1:7">
      <c r="A9" s="7" t="s">
        <v>688</v>
      </c>
      <c r="B9" s="7" t="s">
        <v>697</v>
      </c>
      <c r="C9" s="4">
        <v>45807</v>
      </c>
      <c r="D9" s="2">
        <v>1288600</v>
      </c>
      <c r="E9" s="7" t="s">
        <v>688</v>
      </c>
      <c r="F9" s="7" t="s">
        <v>8</v>
      </c>
      <c r="G9" s="28" t="s">
        <v>698</v>
      </c>
    </row>
    <row r="10" spans="1:7">
      <c r="A10" s="7" t="s">
        <v>688</v>
      </c>
      <c r="B10" s="7" t="s">
        <v>699</v>
      </c>
      <c r="C10" s="4">
        <v>45807</v>
      </c>
      <c r="D10" s="2">
        <v>1450600</v>
      </c>
      <c r="E10" s="7" t="s">
        <v>688</v>
      </c>
      <c r="F10" s="7" t="s">
        <v>8</v>
      </c>
      <c r="G10" s="28" t="s">
        <v>700</v>
      </c>
    </row>
    <row r="11" spans="1:7">
      <c r="A11" s="7" t="s">
        <v>287</v>
      </c>
      <c r="B11" s="7" t="s">
        <v>701</v>
      </c>
      <c r="C11" s="4">
        <v>45805</v>
      </c>
      <c r="D11" s="2">
        <v>182000</v>
      </c>
      <c r="E11" s="7" t="s">
        <v>287</v>
      </c>
      <c r="F11" s="7" t="s">
        <v>8</v>
      </c>
      <c r="G11" s="28" t="s">
        <v>702</v>
      </c>
    </row>
    <row r="12" spans="1:7">
      <c r="A12" s="7" t="s">
        <v>686</v>
      </c>
      <c r="B12" s="7" t="s">
        <v>703</v>
      </c>
      <c r="C12" s="4">
        <v>45805</v>
      </c>
      <c r="D12" s="2">
        <v>25000</v>
      </c>
      <c r="E12" s="7" t="s">
        <v>686</v>
      </c>
      <c r="F12" s="7" t="s">
        <v>8</v>
      </c>
      <c r="G12" s="28" t="s">
        <v>704</v>
      </c>
    </row>
    <row r="13" spans="1:7">
      <c r="A13" s="7" t="s">
        <v>705</v>
      </c>
      <c r="B13" s="7" t="s">
        <v>706</v>
      </c>
      <c r="C13" s="4">
        <v>45791</v>
      </c>
      <c r="D13" s="2">
        <v>461000</v>
      </c>
      <c r="E13" s="7" t="s">
        <v>707</v>
      </c>
      <c r="F13" s="7" t="s">
        <v>8</v>
      </c>
      <c r="G13" s="28" t="s">
        <v>708</v>
      </c>
    </row>
    <row r="14" spans="1:7">
      <c r="A14" s="7" t="s">
        <v>709</v>
      </c>
      <c r="B14" s="9" t="s">
        <v>710</v>
      </c>
      <c r="C14" s="4">
        <v>45824</v>
      </c>
      <c r="D14" s="2">
        <v>777000</v>
      </c>
      <c r="E14" s="7" t="s">
        <v>709</v>
      </c>
      <c r="F14" s="7" t="s">
        <v>8</v>
      </c>
    </row>
    <row r="15" spans="1:7">
      <c r="A15" s="7" t="s">
        <v>510</v>
      </c>
      <c r="B15" s="7" t="s">
        <v>711</v>
      </c>
      <c r="C15" s="4">
        <v>45845</v>
      </c>
      <c r="D15" s="2">
        <v>200000</v>
      </c>
      <c r="E15" s="7" t="s">
        <v>510</v>
      </c>
    </row>
    <row r="16" spans="1:7">
      <c r="A16" s="7" t="s">
        <v>712</v>
      </c>
      <c r="B16" s="7" t="s">
        <v>713</v>
      </c>
      <c r="C16" s="4">
        <v>45848</v>
      </c>
      <c r="D16" s="2">
        <v>696000</v>
      </c>
      <c r="E16" s="7" t="s">
        <v>712</v>
      </c>
    </row>
    <row r="17" spans="1:5">
      <c r="A17" s="7" t="s">
        <v>510</v>
      </c>
      <c r="B17" s="7" t="s">
        <v>711</v>
      </c>
      <c r="C17" s="4">
        <v>45856</v>
      </c>
      <c r="D17" s="2">
        <v>500000</v>
      </c>
      <c r="E17" s="7" t="s">
        <v>510</v>
      </c>
    </row>
    <row r="18" spans="1:5">
      <c r="A18" s="7" t="s">
        <v>714</v>
      </c>
      <c r="B18" s="7" t="s">
        <v>715</v>
      </c>
      <c r="C18" s="4">
        <v>45859</v>
      </c>
      <c r="D18" s="2">
        <v>327600</v>
      </c>
      <c r="E18" s="7" t="s">
        <v>714</v>
      </c>
    </row>
    <row r="19" spans="1:5">
      <c r="A19" s="7" t="s">
        <v>705</v>
      </c>
      <c r="B19" s="7" t="s">
        <v>716</v>
      </c>
      <c r="C19" s="4">
        <v>45870</v>
      </c>
      <c r="D19" s="2">
        <v>1095650</v>
      </c>
      <c r="E19" s="7" t="s">
        <v>707</v>
      </c>
    </row>
    <row r="20" spans="1:5">
      <c r="A20" s="7" t="s">
        <v>709</v>
      </c>
      <c r="B20" s="7" t="s">
        <v>717</v>
      </c>
      <c r="C20" s="4">
        <v>45870</v>
      </c>
      <c r="D20" s="2">
        <v>140700</v>
      </c>
      <c r="E20" s="7" t="s">
        <v>709</v>
      </c>
    </row>
    <row r="21" spans="1:5">
      <c r="A21" s="7" t="s">
        <v>718</v>
      </c>
      <c r="B21" s="7" t="s">
        <v>719</v>
      </c>
      <c r="C21" s="4">
        <v>45881</v>
      </c>
      <c r="D21" s="2">
        <v>1777650</v>
      </c>
      <c r="E21" s="7" t="s">
        <v>718</v>
      </c>
    </row>
    <row r="22" spans="1:5">
      <c r="A22" s="7" t="s">
        <v>718</v>
      </c>
      <c r="B22" s="7" t="s">
        <v>719</v>
      </c>
      <c r="C22" s="4">
        <v>45881</v>
      </c>
      <c r="D22" s="2">
        <v>2129675</v>
      </c>
      <c r="E22" s="7" t="s">
        <v>718</v>
      </c>
    </row>
    <row r="23" spans="1:5">
      <c r="A23" s="7" t="s">
        <v>720</v>
      </c>
      <c r="B23" s="7" t="s">
        <v>721</v>
      </c>
      <c r="C23" s="4">
        <v>45899</v>
      </c>
      <c r="D23" s="2">
        <v>359520</v>
      </c>
      <c r="E23" s="7" t="s">
        <v>720</v>
      </c>
    </row>
    <row r="24" spans="1:5">
      <c r="A24" s="7" t="s">
        <v>705</v>
      </c>
      <c r="B24" s="7" t="s">
        <v>722</v>
      </c>
      <c r="C24" s="4">
        <v>45924</v>
      </c>
      <c r="D24" s="2">
        <v>241800</v>
      </c>
      <c r="E24" s="7" t="s">
        <v>705</v>
      </c>
    </row>
    <row r="25" spans="1:5">
      <c r="A25" s="7" t="s">
        <v>705</v>
      </c>
      <c r="C25" s="4">
        <v>45924</v>
      </c>
      <c r="D25" s="2">
        <v>248000</v>
      </c>
      <c r="E25" s="7" t="s">
        <v>705</v>
      </c>
    </row>
    <row r="26" spans="1:5">
      <c r="A26" s="7" t="s">
        <v>705</v>
      </c>
      <c r="C26" s="4">
        <v>45924</v>
      </c>
      <c r="D26" s="2">
        <v>267000</v>
      </c>
      <c r="E26" s="7" t="s">
        <v>705</v>
      </c>
    </row>
    <row r="27" spans="1:5">
      <c r="A27" s="7" t="s">
        <v>705</v>
      </c>
      <c r="C27" s="4">
        <v>45924</v>
      </c>
      <c r="D27" s="2">
        <v>322400</v>
      </c>
      <c r="E27" s="7" t="s">
        <v>705</v>
      </c>
    </row>
    <row r="28" spans="1:5">
      <c r="A28" s="7" t="s">
        <v>723</v>
      </c>
      <c r="B28" s="7" t="s">
        <v>724</v>
      </c>
      <c r="C28" s="4">
        <v>45925</v>
      </c>
      <c r="D28" s="2">
        <v>1044200</v>
      </c>
      <c r="E28" s="7" t="s">
        <v>723</v>
      </c>
    </row>
    <row r="29" spans="1:5">
      <c r="A29" s="7" t="s">
        <v>725</v>
      </c>
      <c r="B29" s="7" t="s">
        <v>726</v>
      </c>
      <c r="C29" s="4">
        <v>45929</v>
      </c>
      <c r="D29" s="2">
        <v>1140000</v>
      </c>
      <c r="E29" s="7" t="s">
        <v>725</v>
      </c>
    </row>
    <row r="30" spans="1:5">
      <c r="A30" s="7" t="s">
        <v>709</v>
      </c>
      <c r="B30" s="7" t="s">
        <v>710</v>
      </c>
      <c r="C30" s="4">
        <v>45929</v>
      </c>
      <c r="D30" s="2">
        <v>81000</v>
      </c>
      <c r="E30" s="7" t="s">
        <v>709</v>
      </c>
    </row>
    <row r="31" spans="1:5">
      <c r="A31" s="7" t="s">
        <v>714</v>
      </c>
      <c r="B31" s="7" t="s">
        <v>727</v>
      </c>
      <c r="C31" s="4">
        <v>45936</v>
      </c>
      <c r="D31" s="2">
        <v>238000</v>
      </c>
      <c r="E31" s="7" t="s">
        <v>714</v>
      </c>
    </row>
    <row r="32" spans="1:5">
      <c r="A32" s="7" t="s">
        <v>712</v>
      </c>
      <c r="B32" s="7" t="s">
        <v>728</v>
      </c>
      <c r="C32" s="4">
        <v>45939</v>
      </c>
      <c r="D32" s="2">
        <v>480000</v>
      </c>
      <c r="E32" s="7" t="s">
        <v>712</v>
      </c>
    </row>
    <row r="33" spans="1:5">
      <c r="A33" s="7" t="s">
        <v>705</v>
      </c>
      <c r="B33" s="7" t="s">
        <v>729</v>
      </c>
      <c r="C33" s="4">
        <v>45939</v>
      </c>
      <c r="D33" s="2">
        <v>663500</v>
      </c>
      <c r="E33" s="7" t="s">
        <v>705</v>
      </c>
    </row>
    <row r="34" spans="1:5">
      <c r="A34" s="7" t="s">
        <v>730</v>
      </c>
      <c r="B34" s="7" t="s">
        <v>731</v>
      </c>
      <c r="C34" s="4">
        <v>45940</v>
      </c>
      <c r="D34" s="2">
        <v>371250</v>
      </c>
      <c r="E34" s="7" t="s">
        <v>730</v>
      </c>
    </row>
    <row r="35" spans="1:5">
      <c r="A35" s="7" t="s">
        <v>714</v>
      </c>
      <c r="B35" s="7" t="s">
        <v>732</v>
      </c>
      <c r="C35" s="4">
        <v>45946</v>
      </c>
      <c r="D35" s="2">
        <v>78000</v>
      </c>
      <c r="E35" s="7" t="s">
        <v>714</v>
      </c>
    </row>
    <row r="36" spans="1:5">
      <c r="A36" s="7" t="s">
        <v>720</v>
      </c>
      <c r="B36" s="7" t="s">
        <v>733</v>
      </c>
      <c r="C36" s="4">
        <v>45995</v>
      </c>
      <c r="D36" s="2">
        <v>949440</v>
      </c>
      <c r="E36" s="7" t="s">
        <v>720</v>
      </c>
    </row>
    <row r="37" spans="1:5">
      <c r="A37" s="7" t="s">
        <v>730</v>
      </c>
      <c r="B37" s="7" t="s">
        <v>734</v>
      </c>
      <c r="C37" s="4">
        <v>46006</v>
      </c>
      <c r="D37" s="2">
        <v>2233250</v>
      </c>
      <c r="E37" s="7" t="s">
        <v>730</v>
      </c>
    </row>
    <row r="38" spans="1:5">
      <c r="A38" s="7" t="s">
        <v>714</v>
      </c>
      <c r="B38" s="7" t="s">
        <v>735</v>
      </c>
      <c r="C38" s="4">
        <v>46006</v>
      </c>
      <c r="D38" s="2">
        <v>322400</v>
      </c>
      <c r="E38" s="7" t="s">
        <v>714</v>
      </c>
    </row>
    <row r="39" spans="1:5">
      <c r="A39" s="7" t="s">
        <v>720</v>
      </c>
      <c r="B39" s="7" t="s">
        <v>736</v>
      </c>
      <c r="C39" s="4">
        <v>46006</v>
      </c>
      <c r="D39" s="2">
        <v>633600</v>
      </c>
      <c r="E39" s="7" t="s">
        <v>720</v>
      </c>
    </row>
    <row r="40" spans="1:5">
      <c r="A40" s="7" t="s">
        <v>720</v>
      </c>
      <c r="B40" s="7" t="s">
        <v>736</v>
      </c>
      <c r="C40" s="4">
        <v>46006</v>
      </c>
      <c r="D40" s="2">
        <v>739200</v>
      </c>
      <c r="E40" s="7" t="s">
        <v>720</v>
      </c>
    </row>
    <row r="41" spans="1:5">
      <c r="A41" s="7" t="s">
        <v>705</v>
      </c>
      <c r="B41" s="7" t="s">
        <v>737</v>
      </c>
      <c r="C41" s="4">
        <v>46006</v>
      </c>
      <c r="D41" s="2">
        <v>40500</v>
      </c>
      <c r="E41" s="7" t="s">
        <v>705</v>
      </c>
    </row>
    <row r="42" spans="1:5">
      <c r="A42" s="7" t="s">
        <v>718</v>
      </c>
      <c r="B42" s="7" t="s">
        <v>738</v>
      </c>
      <c r="C42" s="4">
        <v>46007</v>
      </c>
      <c r="D42" s="2">
        <v>1243550</v>
      </c>
      <c r="E42" s="7" t="s">
        <v>718</v>
      </c>
    </row>
    <row r="43" spans="1:5">
      <c r="A43" s="7" t="s">
        <v>213</v>
      </c>
      <c r="B43" s="7" t="s">
        <v>739</v>
      </c>
      <c r="C43" s="4">
        <v>46008</v>
      </c>
      <c r="D43" s="2">
        <v>6000</v>
      </c>
      <c r="E43" s="7" t="s">
        <v>213</v>
      </c>
    </row>
    <row r="44" spans="1:5">
      <c r="A44" s="7" t="s">
        <v>709</v>
      </c>
      <c r="B44" s="7" t="s">
        <v>710</v>
      </c>
      <c r="C44" s="4">
        <v>46010</v>
      </c>
      <c r="D44" s="2">
        <v>2406000</v>
      </c>
      <c r="E44" s="7" t="s">
        <v>709</v>
      </c>
    </row>
    <row r="45" spans="1:5">
      <c r="A45" s="7" t="s">
        <v>723</v>
      </c>
      <c r="B45" s="7" t="s">
        <v>740</v>
      </c>
      <c r="C45" s="4">
        <v>46010</v>
      </c>
      <c r="D45" s="2">
        <v>5043800</v>
      </c>
      <c r="E45" s="7" t="s">
        <v>723</v>
      </c>
    </row>
    <row r="46" spans="1:5">
      <c r="A46" s="7" t="s">
        <v>718</v>
      </c>
      <c r="B46" s="7" t="s">
        <v>741</v>
      </c>
      <c r="C46" s="4">
        <v>46010</v>
      </c>
      <c r="D46" s="2">
        <v>6922925</v>
      </c>
      <c r="E46" s="7" t="s">
        <v>718</v>
      </c>
    </row>
    <row r="47" spans="1:5">
      <c r="A47" s="7" t="s">
        <v>742</v>
      </c>
      <c r="B47" s="7" t="s">
        <v>710</v>
      </c>
      <c r="C47" s="4">
        <v>46013</v>
      </c>
      <c r="D47" s="2">
        <v>1211600</v>
      </c>
      <c r="E47" s="7" t="s">
        <v>742</v>
      </c>
    </row>
    <row r="48" spans="1:5">
      <c r="A48" s="7" t="s">
        <v>709</v>
      </c>
      <c r="B48" s="7" t="s">
        <v>710</v>
      </c>
      <c r="C48" s="4">
        <v>46016</v>
      </c>
      <c r="D48" s="2">
        <v>688500</v>
      </c>
      <c r="E48" s="7" t="s">
        <v>709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zoomScale="90" zoomScaleNormal="90" topLeftCell="A94" workbookViewId="0">
      <selection activeCell="E126" sqref="E126:E130"/>
    </sheetView>
  </sheetViews>
  <sheetFormatPr defaultColWidth="9.16071428571429" defaultRowHeight="17.6" outlineLevelCol="6"/>
  <cols>
    <col min="1" max="1" width="46.8571428571429" style="19" customWidth="1"/>
    <col min="2" max="2" width="30.0892857142857" customWidth="1"/>
    <col min="3" max="3" width="12" customWidth="1"/>
    <col min="4" max="4" width="16.3303571428571" style="2" customWidth="1"/>
    <col min="5" max="5" width="9.49107142857143" customWidth="1"/>
    <col min="6" max="7" width="8.5" style="1" customWidth="1"/>
  </cols>
  <sheetData>
    <row r="1" s="1" customFormat="1" spans="1:7">
      <c r="A1" s="19" t="s">
        <v>235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20" t="s">
        <v>743</v>
      </c>
      <c r="B2" s="21" t="s">
        <v>744</v>
      </c>
      <c r="C2" s="4">
        <v>45608</v>
      </c>
      <c r="D2" s="22">
        <v>10320</v>
      </c>
      <c r="E2" s="23" t="s">
        <v>21</v>
      </c>
      <c r="F2" s="1" t="s">
        <v>8</v>
      </c>
      <c r="G2" s="1" t="s">
        <v>745</v>
      </c>
    </row>
    <row r="3" spans="1:7">
      <c r="A3" s="19" t="s">
        <v>746</v>
      </c>
      <c r="B3" s="1" t="s">
        <v>747</v>
      </c>
      <c r="C3" s="4">
        <v>45609</v>
      </c>
      <c r="D3" s="2">
        <v>9000</v>
      </c>
      <c r="E3" s="23" t="s">
        <v>748</v>
      </c>
      <c r="F3" s="1" t="s">
        <v>8</v>
      </c>
      <c r="G3" s="1">
        <v>149</v>
      </c>
    </row>
    <row r="4" spans="1:7">
      <c r="A4" s="24" t="s">
        <v>749</v>
      </c>
      <c r="B4" s="25" t="s">
        <v>750</v>
      </c>
      <c r="C4" s="4">
        <v>45688</v>
      </c>
      <c r="D4" s="2">
        <v>4200</v>
      </c>
      <c r="E4" s="26" t="s">
        <v>751</v>
      </c>
      <c r="F4" s="1" t="s">
        <v>8</v>
      </c>
      <c r="G4" s="1">
        <v>74</v>
      </c>
    </row>
    <row r="5" spans="1:7">
      <c r="A5" s="24" t="s">
        <v>749</v>
      </c>
      <c r="B5" s="1" t="s">
        <v>752</v>
      </c>
      <c r="C5" s="4">
        <v>45722</v>
      </c>
      <c r="D5" s="2">
        <v>15480</v>
      </c>
      <c r="E5" s="26" t="s">
        <v>751</v>
      </c>
      <c r="F5" s="1" t="s">
        <v>8</v>
      </c>
      <c r="G5" s="1" t="s">
        <v>753</v>
      </c>
    </row>
    <row r="6" spans="1:7">
      <c r="A6" s="24" t="s">
        <v>749</v>
      </c>
      <c r="B6" s="25" t="s">
        <v>754</v>
      </c>
      <c r="C6" s="4">
        <v>45734</v>
      </c>
      <c r="D6" s="2">
        <v>1920</v>
      </c>
      <c r="E6" s="26" t="s">
        <v>751</v>
      </c>
      <c r="F6" s="1" t="s">
        <v>8</v>
      </c>
      <c r="G6" s="1">
        <v>269</v>
      </c>
    </row>
    <row r="7" spans="1:7">
      <c r="A7" s="19" t="s">
        <v>746</v>
      </c>
      <c r="B7" s="25" t="s">
        <v>755</v>
      </c>
      <c r="C7" s="4">
        <v>45762</v>
      </c>
      <c r="D7" s="2">
        <v>21000</v>
      </c>
      <c r="E7" s="23" t="s">
        <v>748</v>
      </c>
      <c r="F7" s="1" t="s">
        <v>8</v>
      </c>
    </row>
    <row r="8" spans="1:7">
      <c r="A8" s="24" t="s">
        <v>749</v>
      </c>
      <c r="B8" s="1" t="s">
        <v>756</v>
      </c>
      <c r="C8" s="4">
        <v>45762</v>
      </c>
      <c r="D8" s="2">
        <v>5160</v>
      </c>
      <c r="E8" s="26" t="s">
        <v>751</v>
      </c>
      <c r="F8" s="1" t="s">
        <v>8</v>
      </c>
    </row>
    <row r="9" spans="1:7">
      <c r="A9" s="24" t="s">
        <v>749</v>
      </c>
      <c r="B9" s="25" t="s">
        <v>757</v>
      </c>
      <c r="C9" s="4">
        <v>45755</v>
      </c>
      <c r="D9" s="2">
        <v>408000</v>
      </c>
      <c r="E9" s="26" t="s">
        <v>751</v>
      </c>
      <c r="F9" s="1" t="s">
        <v>8</v>
      </c>
      <c r="G9" s="1">
        <v>361</v>
      </c>
    </row>
    <row r="10" spans="1:7">
      <c r="A10" s="24" t="s">
        <v>749</v>
      </c>
      <c r="B10" s="25" t="s">
        <v>758</v>
      </c>
      <c r="C10" s="4">
        <v>45755</v>
      </c>
      <c r="D10" s="2">
        <v>190920</v>
      </c>
      <c r="E10" s="26" t="s">
        <v>751</v>
      </c>
      <c r="F10" s="1" t="s">
        <v>8</v>
      </c>
      <c r="G10" s="1" t="s">
        <v>759</v>
      </c>
    </row>
    <row r="11" spans="1:7">
      <c r="A11" s="24" t="s">
        <v>749</v>
      </c>
      <c r="B11" s="25" t="s">
        <v>760</v>
      </c>
      <c r="C11" s="4">
        <v>45770</v>
      </c>
      <c r="D11" s="2">
        <v>4080000</v>
      </c>
      <c r="E11" s="26" t="s">
        <v>751</v>
      </c>
      <c r="F11" s="1" t="s">
        <v>8</v>
      </c>
      <c r="G11" s="1" t="s">
        <v>761</v>
      </c>
    </row>
    <row r="12" spans="1:7">
      <c r="A12" s="24" t="s">
        <v>169</v>
      </c>
      <c r="B12" s="25" t="s">
        <v>762</v>
      </c>
      <c r="C12" s="4">
        <v>45779</v>
      </c>
      <c r="D12" s="2">
        <v>329800</v>
      </c>
      <c r="E12" s="26" t="s">
        <v>763</v>
      </c>
      <c r="F12" s="1" t="s">
        <v>8</v>
      </c>
      <c r="G12" s="1" t="s">
        <v>761</v>
      </c>
    </row>
    <row r="13" spans="1:7">
      <c r="A13" s="24" t="s">
        <v>169</v>
      </c>
      <c r="B13" t="s">
        <v>764</v>
      </c>
      <c r="C13" s="4">
        <v>45792</v>
      </c>
      <c r="D13" s="2">
        <v>700200</v>
      </c>
      <c r="E13" s="26" t="s">
        <v>763</v>
      </c>
      <c r="F13" s="1" t="s">
        <v>8</v>
      </c>
      <c r="G13" s="1">
        <v>554</v>
      </c>
    </row>
    <row r="14" spans="1:7">
      <c r="A14" s="24" t="s">
        <v>169</v>
      </c>
      <c r="B14" t="s">
        <v>765</v>
      </c>
      <c r="C14" s="4">
        <v>45804</v>
      </c>
      <c r="D14" s="2">
        <v>100100</v>
      </c>
      <c r="E14" s="26" t="s">
        <v>763</v>
      </c>
      <c r="F14" s="1" t="s">
        <v>8</v>
      </c>
      <c r="G14" s="1" t="s">
        <v>766</v>
      </c>
    </row>
    <row r="15" spans="1:7">
      <c r="A15" s="24" t="s">
        <v>169</v>
      </c>
      <c r="B15" t="s">
        <v>767</v>
      </c>
      <c r="C15" s="4">
        <v>45804</v>
      </c>
      <c r="D15" s="2">
        <v>286500</v>
      </c>
      <c r="E15" s="26" t="s">
        <v>763</v>
      </c>
      <c r="F15" s="1" t="s">
        <v>8</v>
      </c>
      <c r="G15" s="1" t="s">
        <v>768</v>
      </c>
    </row>
    <row r="16" spans="1:7">
      <c r="A16" s="19" t="s">
        <v>746</v>
      </c>
      <c r="B16" t="s">
        <v>769</v>
      </c>
      <c r="C16" s="4">
        <v>45800</v>
      </c>
      <c r="D16" s="2">
        <v>111000</v>
      </c>
      <c r="E16" t="s">
        <v>748</v>
      </c>
      <c r="F16" s="1" t="s">
        <v>8</v>
      </c>
      <c r="G16" s="1">
        <v>671</v>
      </c>
    </row>
    <row r="17" spans="1:7">
      <c r="A17" s="27" t="s">
        <v>749</v>
      </c>
      <c r="B17" t="s">
        <v>770</v>
      </c>
      <c r="C17" s="4">
        <v>45800</v>
      </c>
      <c r="D17" s="2">
        <v>190920</v>
      </c>
      <c r="E17" s="26" t="s">
        <v>751</v>
      </c>
      <c r="F17" s="1" t="s">
        <v>8</v>
      </c>
    </row>
    <row r="18" spans="1:7">
      <c r="A18" s="27" t="s">
        <v>749</v>
      </c>
      <c r="B18" t="s">
        <v>771</v>
      </c>
      <c r="C18" s="4">
        <v>45807</v>
      </c>
      <c r="D18" s="2">
        <v>12240</v>
      </c>
      <c r="E18" s="26" t="s">
        <v>751</v>
      </c>
      <c r="F18" s="1" t="s">
        <v>8</v>
      </c>
    </row>
    <row r="19" spans="1:7">
      <c r="A19" s="27" t="s">
        <v>772</v>
      </c>
      <c r="B19" t="s">
        <v>773</v>
      </c>
      <c r="C19" s="4">
        <v>45797</v>
      </c>
      <c r="D19" s="2">
        <v>46000</v>
      </c>
      <c r="E19" t="s">
        <v>21</v>
      </c>
      <c r="F19" s="1" t="s">
        <v>8</v>
      </c>
      <c r="G19" s="1">
        <v>562</v>
      </c>
    </row>
    <row r="20" spans="1:7">
      <c r="A20" s="27" t="s">
        <v>772</v>
      </c>
      <c r="B20" t="s">
        <v>774</v>
      </c>
      <c r="C20" s="4">
        <v>45807</v>
      </c>
      <c r="D20" s="2">
        <v>11500</v>
      </c>
      <c r="E20" t="s">
        <v>21</v>
      </c>
      <c r="F20" s="1" t="s">
        <v>8</v>
      </c>
      <c r="G20" s="1" t="s">
        <v>775</v>
      </c>
    </row>
    <row r="21" spans="1:7">
      <c r="A21" s="19" t="s">
        <v>81</v>
      </c>
      <c r="B21" t="s">
        <v>776</v>
      </c>
      <c r="C21" s="4">
        <v>45811</v>
      </c>
      <c r="D21" s="2">
        <v>376680</v>
      </c>
      <c r="E21" t="s">
        <v>777</v>
      </c>
    </row>
    <row r="22" spans="1:7">
      <c r="A22" s="19" t="s">
        <v>746</v>
      </c>
      <c r="B22" t="s">
        <v>778</v>
      </c>
      <c r="C22" s="4">
        <v>45813</v>
      </c>
      <c r="D22" s="2">
        <v>6000</v>
      </c>
      <c r="E22" t="s">
        <v>748</v>
      </c>
    </row>
    <row r="23" spans="1:7">
      <c r="A23" s="19" t="s">
        <v>169</v>
      </c>
      <c r="B23" t="s">
        <v>779</v>
      </c>
      <c r="C23" s="4">
        <v>45814</v>
      </c>
      <c r="D23" s="2">
        <v>370300</v>
      </c>
      <c r="E23" s="26" t="s">
        <v>763</v>
      </c>
    </row>
    <row r="24" spans="1:7">
      <c r="A24" s="19" t="s">
        <v>772</v>
      </c>
      <c r="B24" t="s">
        <v>780</v>
      </c>
      <c r="C24" s="4">
        <v>45819</v>
      </c>
      <c r="D24" s="2">
        <v>23000</v>
      </c>
      <c r="E24" t="s">
        <v>21</v>
      </c>
    </row>
    <row r="25" spans="1:7">
      <c r="A25" s="19" t="s">
        <v>169</v>
      </c>
      <c r="B25" t="s">
        <v>779</v>
      </c>
      <c r="C25" s="4">
        <v>45821</v>
      </c>
      <c r="D25" s="2">
        <v>830000</v>
      </c>
      <c r="E25" s="26" t="s">
        <v>763</v>
      </c>
    </row>
    <row r="26" spans="1:7">
      <c r="A26" s="19" t="s">
        <v>749</v>
      </c>
      <c r="B26" t="s">
        <v>781</v>
      </c>
      <c r="C26" s="4">
        <v>45827</v>
      </c>
      <c r="D26" s="2">
        <v>357960</v>
      </c>
      <c r="E26" t="s">
        <v>777</v>
      </c>
    </row>
    <row r="27" spans="1:7">
      <c r="A27" s="19" t="s">
        <v>746</v>
      </c>
      <c r="B27" t="s">
        <v>782</v>
      </c>
      <c r="C27" s="4">
        <v>45827</v>
      </c>
      <c r="D27" s="2">
        <v>3000</v>
      </c>
      <c r="E27" t="s">
        <v>748</v>
      </c>
    </row>
    <row r="28" spans="1:7">
      <c r="A28" s="19" t="s">
        <v>746</v>
      </c>
      <c r="B28" t="s">
        <v>755</v>
      </c>
      <c r="C28" s="4">
        <v>45827</v>
      </c>
      <c r="D28" s="2">
        <v>9000</v>
      </c>
      <c r="E28" t="s">
        <v>748</v>
      </c>
    </row>
    <row r="29" spans="1:7">
      <c r="A29" s="19" t="s">
        <v>81</v>
      </c>
      <c r="B29" t="s">
        <v>783</v>
      </c>
      <c r="C29" s="4">
        <v>45833</v>
      </c>
      <c r="D29" s="2">
        <v>149640</v>
      </c>
      <c r="E29" t="s">
        <v>777</v>
      </c>
    </row>
    <row r="30" spans="1:7">
      <c r="A30" s="19" t="s">
        <v>169</v>
      </c>
      <c r="B30" t="s">
        <v>784</v>
      </c>
      <c r="C30" s="4">
        <v>45835</v>
      </c>
      <c r="D30" s="2">
        <v>969700</v>
      </c>
      <c r="E30" s="26" t="s">
        <v>763</v>
      </c>
    </row>
    <row r="31" spans="1:7">
      <c r="A31" s="19" t="s">
        <v>772</v>
      </c>
      <c r="B31" t="s">
        <v>785</v>
      </c>
      <c r="C31" s="4">
        <v>45835</v>
      </c>
      <c r="D31" s="2">
        <v>23000</v>
      </c>
      <c r="E31" t="s">
        <v>21</v>
      </c>
    </row>
    <row r="32" spans="1:7">
      <c r="A32" s="19" t="s">
        <v>772</v>
      </c>
      <c r="B32" t="s">
        <v>786</v>
      </c>
      <c r="C32" s="4">
        <v>45835</v>
      </c>
      <c r="D32" s="2">
        <v>104500</v>
      </c>
      <c r="E32" t="s">
        <v>21</v>
      </c>
    </row>
    <row r="33" spans="1:5">
      <c r="A33" s="19" t="s">
        <v>81</v>
      </c>
      <c r="B33" t="s">
        <v>787</v>
      </c>
      <c r="C33" s="4">
        <v>45861</v>
      </c>
      <c r="D33" s="2">
        <v>139320</v>
      </c>
      <c r="E33" t="s">
        <v>777</v>
      </c>
    </row>
    <row r="34" spans="1:5">
      <c r="A34" s="19" t="s">
        <v>81</v>
      </c>
      <c r="B34" t="s">
        <v>788</v>
      </c>
      <c r="C34" s="4">
        <v>45847</v>
      </c>
      <c r="D34" s="2">
        <v>1920</v>
      </c>
      <c r="E34" t="s">
        <v>777</v>
      </c>
    </row>
    <row r="35" spans="1:5">
      <c r="A35" s="19" t="s">
        <v>81</v>
      </c>
      <c r="B35" t="s">
        <v>789</v>
      </c>
      <c r="C35" s="4">
        <v>45845</v>
      </c>
      <c r="D35" s="2">
        <v>443760</v>
      </c>
      <c r="E35" t="s">
        <v>777</v>
      </c>
    </row>
    <row r="36" spans="1:5">
      <c r="A36" s="19" t="s">
        <v>81</v>
      </c>
      <c r="B36" t="s">
        <v>790</v>
      </c>
      <c r="C36" s="4">
        <v>45842</v>
      </c>
      <c r="D36" s="2">
        <v>1920000</v>
      </c>
      <c r="E36" t="s">
        <v>791</v>
      </c>
    </row>
    <row r="37" spans="1:5">
      <c r="A37" s="19" t="s">
        <v>81</v>
      </c>
      <c r="B37" t="s">
        <v>792</v>
      </c>
      <c r="C37" s="4">
        <v>45840</v>
      </c>
      <c r="D37" s="2">
        <v>170280</v>
      </c>
      <c r="E37" t="s">
        <v>777</v>
      </c>
    </row>
    <row r="38" spans="1:5">
      <c r="A38" s="19" t="s">
        <v>772</v>
      </c>
      <c r="B38" t="s">
        <v>793</v>
      </c>
      <c r="C38" s="4">
        <v>45866</v>
      </c>
      <c r="D38" s="2">
        <v>3500</v>
      </c>
      <c r="E38" t="s">
        <v>21</v>
      </c>
    </row>
    <row r="39" spans="1:5">
      <c r="A39" s="19" t="s">
        <v>772</v>
      </c>
      <c r="B39" t="s">
        <v>793</v>
      </c>
      <c r="C39" s="4">
        <v>45866</v>
      </c>
      <c r="D39" s="2">
        <v>69650</v>
      </c>
      <c r="E39" t="s">
        <v>21</v>
      </c>
    </row>
    <row r="40" spans="1:5">
      <c r="A40" s="19" t="s">
        <v>772</v>
      </c>
      <c r="B40" t="s">
        <v>21</v>
      </c>
      <c r="C40" s="4">
        <v>45855</v>
      </c>
      <c r="D40" s="2">
        <v>6500</v>
      </c>
      <c r="E40" t="s">
        <v>21</v>
      </c>
    </row>
    <row r="41" spans="1:5">
      <c r="A41" s="19" t="s">
        <v>772</v>
      </c>
      <c r="B41" t="s">
        <v>21</v>
      </c>
      <c r="C41" s="4">
        <v>45855</v>
      </c>
      <c r="D41" s="2">
        <v>11000</v>
      </c>
      <c r="E41" t="s">
        <v>21</v>
      </c>
    </row>
    <row r="42" spans="1:5">
      <c r="A42" s="19" t="s">
        <v>772</v>
      </c>
      <c r="B42" t="s">
        <v>21</v>
      </c>
      <c r="C42" s="4">
        <v>45855</v>
      </c>
      <c r="D42" s="2">
        <v>13000</v>
      </c>
      <c r="E42" t="s">
        <v>21</v>
      </c>
    </row>
    <row r="43" spans="1:5">
      <c r="A43" s="19" t="s">
        <v>772</v>
      </c>
      <c r="B43" t="s">
        <v>21</v>
      </c>
      <c r="C43" s="4">
        <v>45855</v>
      </c>
      <c r="D43" s="2">
        <v>137100</v>
      </c>
      <c r="E43" t="s">
        <v>21</v>
      </c>
    </row>
    <row r="44" spans="1:5">
      <c r="A44" s="19" t="s">
        <v>772</v>
      </c>
      <c r="B44" t="s">
        <v>21</v>
      </c>
      <c r="C44" s="4">
        <v>45855</v>
      </c>
      <c r="D44" s="2">
        <v>253000</v>
      </c>
      <c r="E44" t="s">
        <v>21</v>
      </c>
    </row>
    <row r="45" spans="1:5">
      <c r="A45" s="19" t="s">
        <v>772</v>
      </c>
      <c r="B45" t="s">
        <v>21</v>
      </c>
      <c r="C45" s="4">
        <v>45855</v>
      </c>
      <c r="D45" s="2">
        <v>258700</v>
      </c>
      <c r="E45" t="s">
        <v>21</v>
      </c>
    </row>
    <row r="46" spans="1:5">
      <c r="A46" s="19" t="s">
        <v>772</v>
      </c>
      <c r="B46" t="s">
        <v>21</v>
      </c>
      <c r="C46" s="4">
        <v>45853</v>
      </c>
      <c r="D46" s="2">
        <v>11000</v>
      </c>
      <c r="E46" t="s">
        <v>21</v>
      </c>
    </row>
    <row r="47" spans="1:5">
      <c r="A47" s="19" t="s">
        <v>772</v>
      </c>
      <c r="B47" t="s">
        <v>21</v>
      </c>
      <c r="C47" s="4">
        <v>45853</v>
      </c>
      <c r="D47" s="2">
        <v>218900</v>
      </c>
      <c r="E47" t="s">
        <v>21</v>
      </c>
    </row>
    <row r="48" spans="1:5">
      <c r="A48" s="19" t="s">
        <v>169</v>
      </c>
      <c r="B48" t="s">
        <v>779</v>
      </c>
      <c r="C48" s="4">
        <v>45856</v>
      </c>
      <c r="D48" s="2">
        <v>716600</v>
      </c>
      <c r="E48" t="s">
        <v>763</v>
      </c>
    </row>
    <row r="49" spans="1:5">
      <c r="A49" s="19" t="s">
        <v>746</v>
      </c>
      <c r="B49" t="s">
        <v>794</v>
      </c>
      <c r="C49" s="4">
        <v>45847</v>
      </c>
      <c r="D49" s="2">
        <v>60000</v>
      </c>
      <c r="E49" t="s">
        <v>748</v>
      </c>
    </row>
    <row r="50" spans="1:5">
      <c r="A50" s="19" t="s">
        <v>81</v>
      </c>
      <c r="B50" t="s">
        <v>795</v>
      </c>
      <c r="C50" s="4">
        <v>45856</v>
      </c>
      <c r="D50" s="2">
        <v>120600</v>
      </c>
      <c r="E50" t="s">
        <v>777</v>
      </c>
    </row>
    <row r="51" spans="1:5">
      <c r="A51" s="19" t="s">
        <v>772</v>
      </c>
      <c r="B51" t="s">
        <v>796</v>
      </c>
      <c r="C51" s="4">
        <v>45894</v>
      </c>
      <c r="D51" s="2">
        <v>67200</v>
      </c>
      <c r="E51" t="s">
        <v>21</v>
      </c>
    </row>
    <row r="52" spans="1:5">
      <c r="A52" s="19" t="s">
        <v>772</v>
      </c>
      <c r="B52" t="s">
        <v>796</v>
      </c>
      <c r="C52" s="4">
        <v>45894</v>
      </c>
      <c r="D52" s="2">
        <v>800</v>
      </c>
      <c r="E52" t="s">
        <v>21</v>
      </c>
    </row>
    <row r="53" spans="1:5">
      <c r="A53" s="19" t="s">
        <v>772</v>
      </c>
      <c r="B53" t="s">
        <v>797</v>
      </c>
      <c r="C53" s="4">
        <v>45889</v>
      </c>
      <c r="D53" s="2">
        <v>11500</v>
      </c>
      <c r="E53" t="s">
        <v>21</v>
      </c>
    </row>
    <row r="54" spans="1:5">
      <c r="A54" s="19" t="s">
        <v>772</v>
      </c>
      <c r="B54" t="s">
        <v>797</v>
      </c>
      <c r="C54" s="4">
        <v>45889</v>
      </c>
      <c r="D54" s="2">
        <v>500</v>
      </c>
      <c r="E54" t="s">
        <v>21</v>
      </c>
    </row>
    <row r="55" spans="1:5">
      <c r="A55" s="19" t="s">
        <v>772</v>
      </c>
      <c r="B55" t="s">
        <v>798</v>
      </c>
      <c r="C55" s="4">
        <v>45887</v>
      </c>
      <c r="D55" s="2">
        <v>12000</v>
      </c>
      <c r="E55" t="s">
        <v>21</v>
      </c>
    </row>
    <row r="56" spans="1:5">
      <c r="A56" s="19" t="s">
        <v>772</v>
      </c>
      <c r="B56" t="s">
        <v>798</v>
      </c>
      <c r="C56" s="4">
        <v>45887</v>
      </c>
      <c r="D56" s="2">
        <v>30000</v>
      </c>
      <c r="E56" t="s">
        <v>21</v>
      </c>
    </row>
    <row r="57" spans="1:5">
      <c r="A57" s="19" t="s">
        <v>772</v>
      </c>
      <c r="B57" t="s">
        <v>798</v>
      </c>
      <c r="C57" s="4">
        <v>45887</v>
      </c>
      <c r="D57" s="2">
        <v>75000</v>
      </c>
      <c r="E57" t="s">
        <v>21</v>
      </c>
    </row>
    <row r="58" spans="1:5">
      <c r="A58" s="19" t="s">
        <v>772</v>
      </c>
      <c r="B58" t="s">
        <v>798</v>
      </c>
      <c r="C58" s="4">
        <v>45887</v>
      </c>
      <c r="D58" s="2">
        <v>678000</v>
      </c>
      <c r="E58" t="s">
        <v>21</v>
      </c>
    </row>
    <row r="59" spans="1:5">
      <c r="A59" s="19" t="s">
        <v>772</v>
      </c>
      <c r="B59" t="s">
        <v>798</v>
      </c>
      <c r="C59" s="4">
        <v>45887</v>
      </c>
      <c r="D59" s="2">
        <v>1462500</v>
      </c>
      <c r="E59" t="s">
        <v>21</v>
      </c>
    </row>
    <row r="60" spans="1:5">
      <c r="A60" s="19" t="s">
        <v>772</v>
      </c>
      <c r="B60" t="s">
        <v>799</v>
      </c>
      <c r="C60" s="4">
        <v>45882</v>
      </c>
      <c r="D60" s="2">
        <v>4400</v>
      </c>
      <c r="E60" t="s">
        <v>21</v>
      </c>
    </row>
    <row r="61" spans="1:5">
      <c r="A61" s="19" t="s">
        <v>772</v>
      </c>
      <c r="B61" t="s">
        <v>799</v>
      </c>
      <c r="C61" s="4">
        <v>45882</v>
      </c>
      <c r="D61" s="2">
        <v>11000</v>
      </c>
      <c r="E61" t="s">
        <v>21</v>
      </c>
    </row>
    <row r="62" spans="1:5">
      <c r="A62" s="19" t="s">
        <v>772</v>
      </c>
      <c r="B62" t="s">
        <v>799</v>
      </c>
      <c r="C62" s="4">
        <v>45882</v>
      </c>
      <c r="D62" s="2">
        <v>214500</v>
      </c>
      <c r="E62" t="s">
        <v>21</v>
      </c>
    </row>
    <row r="63" spans="1:5">
      <c r="A63" s="19" t="s">
        <v>772</v>
      </c>
      <c r="B63" t="s">
        <v>800</v>
      </c>
      <c r="C63" s="4">
        <v>45880</v>
      </c>
      <c r="D63" s="2">
        <v>4200</v>
      </c>
      <c r="E63" t="s">
        <v>21</v>
      </c>
    </row>
    <row r="64" spans="1:5">
      <c r="A64" s="19" t="s">
        <v>772</v>
      </c>
      <c r="B64" t="s">
        <v>800</v>
      </c>
      <c r="C64" s="4">
        <v>45880</v>
      </c>
      <c r="D64" s="2">
        <v>10500</v>
      </c>
      <c r="E64" t="s">
        <v>21</v>
      </c>
    </row>
    <row r="65" spans="1:5">
      <c r="A65" s="19" t="s">
        <v>772</v>
      </c>
      <c r="B65" t="s">
        <v>800</v>
      </c>
      <c r="C65" s="4">
        <v>45880</v>
      </c>
      <c r="D65" s="2">
        <v>206300</v>
      </c>
      <c r="E65" t="s">
        <v>21</v>
      </c>
    </row>
    <row r="66" spans="1:5">
      <c r="A66" s="19" t="s">
        <v>772</v>
      </c>
      <c r="B66" t="s">
        <v>21</v>
      </c>
      <c r="C66" s="4">
        <v>45874</v>
      </c>
      <c r="D66" s="2">
        <v>11500</v>
      </c>
      <c r="E66" t="s">
        <v>21</v>
      </c>
    </row>
    <row r="67" spans="1:5">
      <c r="A67" s="19" t="s">
        <v>772</v>
      </c>
      <c r="B67" t="s">
        <v>21</v>
      </c>
      <c r="C67" s="4">
        <v>45874</v>
      </c>
      <c r="D67" s="2">
        <v>500</v>
      </c>
      <c r="E67" t="s">
        <v>21</v>
      </c>
    </row>
    <row r="68" spans="1:5">
      <c r="A68" s="19" t="s">
        <v>772</v>
      </c>
      <c r="B68" t="s">
        <v>21</v>
      </c>
      <c r="C68" s="4">
        <v>45874</v>
      </c>
      <c r="D68" s="2">
        <v>6000</v>
      </c>
      <c r="E68" t="s">
        <v>21</v>
      </c>
    </row>
    <row r="69" spans="1:5">
      <c r="A69" s="19" t="s">
        <v>772</v>
      </c>
      <c r="B69" t="s">
        <v>21</v>
      </c>
      <c r="C69" s="4">
        <v>45874</v>
      </c>
      <c r="D69" s="2">
        <v>29850</v>
      </c>
      <c r="E69" t="s">
        <v>21</v>
      </c>
    </row>
    <row r="70" spans="1:5">
      <c r="A70" s="19" t="s">
        <v>772</v>
      </c>
      <c r="B70" t="s">
        <v>21</v>
      </c>
      <c r="C70" s="4">
        <v>45874</v>
      </c>
      <c r="D70" s="2">
        <v>119400</v>
      </c>
      <c r="E70" t="s">
        <v>21</v>
      </c>
    </row>
    <row r="71" spans="1:5">
      <c r="A71" s="19" t="s">
        <v>772</v>
      </c>
      <c r="B71" t="s">
        <v>21</v>
      </c>
      <c r="C71" s="4">
        <v>45874</v>
      </c>
      <c r="D71" s="2">
        <v>1500</v>
      </c>
      <c r="E71" t="s">
        <v>21</v>
      </c>
    </row>
    <row r="72" spans="1:5">
      <c r="A72" s="19" t="s">
        <v>801</v>
      </c>
      <c r="B72" t="s">
        <v>802</v>
      </c>
      <c r="C72" s="4">
        <v>45874</v>
      </c>
      <c r="D72" s="2">
        <v>15480</v>
      </c>
      <c r="E72" t="s">
        <v>777</v>
      </c>
    </row>
    <row r="73" spans="1:5">
      <c r="A73" s="19" t="s">
        <v>801</v>
      </c>
      <c r="B73" t="s">
        <v>803</v>
      </c>
      <c r="C73" s="4">
        <v>45881</v>
      </c>
      <c r="D73" s="2">
        <v>61440</v>
      </c>
      <c r="E73" t="s">
        <v>777</v>
      </c>
    </row>
    <row r="74" spans="1:5">
      <c r="A74" s="19" t="s">
        <v>746</v>
      </c>
      <c r="B74" t="s">
        <v>804</v>
      </c>
      <c r="C74" s="4">
        <v>45883</v>
      </c>
      <c r="D74" s="2">
        <v>3000</v>
      </c>
      <c r="E74" t="s">
        <v>748</v>
      </c>
    </row>
    <row r="75" spans="1:5">
      <c r="A75" s="19" t="s">
        <v>746</v>
      </c>
      <c r="B75" t="s">
        <v>804</v>
      </c>
      <c r="C75" s="4">
        <v>45883</v>
      </c>
      <c r="D75" s="2">
        <v>24000</v>
      </c>
      <c r="E75" t="s">
        <v>748</v>
      </c>
    </row>
    <row r="76" spans="1:5">
      <c r="A76" s="19" t="s">
        <v>801</v>
      </c>
      <c r="B76" t="s">
        <v>805</v>
      </c>
      <c r="C76" s="4">
        <v>45884</v>
      </c>
      <c r="D76" s="2">
        <v>30960</v>
      </c>
      <c r="E76" t="s">
        <v>777</v>
      </c>
    </row>
    <row r="77" spans="1:5">
      <c r="A77" s="19" t="s">
        <v>169</v>
      </c>
      <c r="B77" t="s">
        <v>806</v>
      </c>
      <c r="C77" s="4">
        <v>45889</v>
      </c>
      <c r="D77" s="2">
        <v>442000</v>
      </c>
      <c r="E77" t="s">
        <v>763</v>
      </c>
    </row>
    <row r="78" spans="1:5">
      <c r="A78" s="19" t="s">
        <v>746</v>
      </c>
      <c r="B78" t="s">
        <v>804</v>
      </c>
      <c r="C78" s="4">
        <v>45890</v>
      </c>
      <c r="D78" s="2">
        <v>21000</v>
      </c>
      <c r="E78" t="s">
        <v>748</v>
      </c>
    </row>
    <row r="79" spans="1:5">
      <c r="A79" s="19" t="s">
        <v>801</v>
      </c>
      <c r="B79" t="s">
        <v>807</v>
      </c>
      <c r="C79" s="4">
        <v>45895</v>
      </c>
      <c r="D79" s="2">
        <v>72240</v>
      </c>
      <c r="E79" t="s">
        <v>777</v>
      </c>
    </row>
    <row r="80" spans="1:5">
      <c r="A80" s="19" t="s">
        <v>81</v>
      </c>
      <c r="B80" t="s">
        <v>808</v>
      </c>
      <c r="C80" s="4">
        <v>45901</v>
      </c>
      <c r="D80" s="2">
        <v>88320</v>
      </c>
      <c r="E80" t="s">
        <v>777</v>
      </c>
    </row>
    <row r="81" spans="1:5">
      <c r="A81" s="19" t="s">
        <v>112</v>
      </c>
      <c r="B81" t="s">
        <v>809</v>
      </c>
      <c r="C81" s="4">
        <v>45903</v>
      </c>
      <c r="D81" s="2">
        <v>55200</v>
      </c>
      <c r="E81" t="s">
        <v>21</v>
      </c>
    </row>
    <row r="82" spans="1:5">
      <c r="A82" s="19" t="s">
        <v>112</v>
      </c>
      <c r="B82" t="s">
        <v>809</v>
      </c>
      <c r="C82" s="4">
        <v>45903</v>
      </c>
      <c r="D82" s="2">
        <v>98900</v>
      </c>
      <c r="E82" t="s">
        <v>21</v>
      </c>
    </row>
    <row r="83" spans="1:5">
      <c r="A83" s="19" t="s">
        <v>772</v>
      </c>
      <c r="B83" t="s">
        <v>810</v>
      </c>
      <c r="C83" s="4">
        <v>45904</v>
      </c>
      <c r="D83" s="2">
        <v>1200</v>
      </c>
      <c r="E83" t="s">
        <v>21</v>
      </c>
    </row>
    <row r="84" spans="1:5">
      <c r="A84" s="19" t="s">
        <v>772</v>
      </c>
      <c r="B84" t="s">
        <v>810</v>
      </c>
      <c r="C84" s="4">
        <v>45904</v>
      </c>
      <c r="D84" s="2">
        <v>67800</v>
      </c>
      <c r="E84" t="s">
        <v>21</v>
      </c>
    </row>
    <row r="85" spans="1:5">
      <c r="A85" s="19" t="s">
        <v>81</v>
      </c>
      <c r="B85" t="s">
        <v>811</v>
      </c>
      <c r="C85" s="4">
        <v>45904</v>
      </c>
      <c r="D85" s="2">
        <v>9000</v>
      </c>
      <c r="E85" t="s">
        <v>777</v>
      </c>
    </row>
    <row r="86" spans="1:5">
      <c r="A86" s="19" t="s">
        <v>81</v>
      </c>
      <c r="B86" t="s">
        <v>812</v>
      </c>
      <c r="C86" s="4">
        <v>45905</v>
      </c>
      <c r="D86" s="2">
        <v>84480</v>
      </c>
      <c r="E86" t="s">
        <v>777</v>
      </c>
    </row>
    <row r="87" spans="1:5">
      <c r="A87" s="19" t="s">
        <v>813</v>
      </c>
      <c r="B87" t="s">
        <v>814</v>
      </c>
      <c r="C87" s="4">
        <v>45905</v>
      </c>
      <c r="D87" s="2">
        <v>37800</v>
      </c>
      <c r="E87" t="s">
        <v>777</v>
      </c>
    </row>
    <row r="88" spans="1:5">
      <c r="A88" s="19" t="s">
        <v>81</v>
      </c>
      <c r="B88" t="s">
        <v>815</v>
      </c>
      <c r="C88" s="4">
        <v>45908</v>
      </c>
      <c r="D88" s="2">
        <v>23000</v>
      </c>
      <c r="E88" t="s">
        <v>777</v>
      </c>
    </row>
    <row r="89" spans="1:5">
      <c r="A89" s="19" t="s">
        <v>81</v>
      </c>
      <c r="B89" t="s">
        <v>816</v>
      </c>
      <c r="C89" s="4">
        <v>45911</v>
      </c>
      <c r="D89" s="2">
        <v>1500</v>
      </c>
      <c r="E89" t="s">
        <v>777</v>
      </c>
    </row>
    <row r="90" spans="1:5">
      <c r="A90" s="19" t="s">
        <v>746</v>
      </c>
      <c r="B90" t="s">
        <v>817</v>
      </c>
      <c r="C90" s="4">
        <v>45912</v>
      </c>
      <c r="D90" s="2">
        <v>36000</v>
      </c>
      <c r="E90" t="s">
        <v>748</v>
      </c>
    </row>
    <row r="91" spans="1:5">
      <c r="A91" s="19" t="s">
        <v>81</v>
      </c>
      <c r="B91" t="s">
        <v>818</v>
      </c>
      <c r="C91" s="4">
        <v>45912</v>
      </c>
      <c r="D91" s="2">
        <v>500</v>
      </c>
      <c r="E91" t="s">
        <v>777</v>
      </c>
    </row>
    <row r="92" spans="1:5">
      <c r="A92" s="19" t="s">
        <v>81</v>
      </c>
      <c r="B92" t="s">
        <v>819</v>
      </c>
      <c r="C92" s="4">
        <v>45915</v>
      </c>
      <c r="D92" s="2">
        <v>16000</v>
      </c>
      <c r="E92" t="s">
        <v>777</v>
      </c>
    </row>
    <row r="93" spans="1:5">
      <c r="A93" s="19" t="s">
        <v>81</v>
      </c>
      <c r="B93" t="s">
        <v>820</v>
      </c>
      <c r="C93" s="4">
        <v>45922</v>
      </c>
      <c r="D93" s="2">
        <v>5000</v>
      </c>
      <c r="E93" t="s">
        <v>777</v>
      </c>
    </row>
    <row r="94" spans="1:5">
      <c r="A94" s="19" t="s">
        <v>81</v>
      </c>
      <c r="B94" t="s">
        <v>821</v>
      </c>
      <c r="C94" s="4">
        <v>45917</v>
      </c>
      <c r="D94" s="2">
        <v>4000</v>
      </c>
      <c r="E94" t="s">
        <v>777</v>
      </c>
    </row>
    <row r="95" spans="1:5">
      <c r="A95" s="19" t="s">
        <v>81</v>
      </c>
      <c r="B95" t="s">
        <v>822</v>
      </c>
      <c r="C95" s="4">
        <v>45917</v>
      </c>
      <c r="D95" s="2">
        <v>120960</v>
      </c>
      <c r="E95" t="s">
        <v>777</v>
      </c>
    </row>
    <row r="96" spans="1:5">
      <c r="B96" t="s">
        <v>823</v>
      </c>
      <c r="C96" s="4">
        <v>45922</v>
      </c>
      <c r="D96" s="2">
        <v>1920</v>
      </c>
      <c r="E96" t="s">
        <v>777</v>
      </c>
    </row>
    <row r="97" spans="1:5">
      <c r="A97" s="19" t="s">
        <v>169</v>
      </c>
      <c r="B97" t="s">
        <v>763</v>
      </c>
      <c r="C97" s="4">
        <v>45923</v>
      </c>
      <c r="D97" s="2">
        <v>263700</v>
      </c>
      <c r="E97" t="s">
        <v>763</v>
      </c>
    </row>
    <row r="98" spans="1:5">
      <c r="A98" s="19" t="s">
        <v>81</v>
      </c>
      <c r="B98" t="s">
        <v>824</v>
      </c>
      <c r="C98" s="4">
        <v>45923</v>
      </c>
      <c r="D98" s="2">
        <v>1000</v>
      </c>
      <c r="E98" t="s">
        <v>777</v>
      </c>
    </row>
    <row r="99" spans="1:5">
      <c r="A99" s="19" t="s">
        <v>81</v>
      </c>
      <c r="B99" t="s">
        <v>825</v>
      </c>
      <c r="C99" s="4">
        <v>45925</v>
      </c>
      <c r="D99" s="2">
        <v>6000</v>
      </c>
      <c r="E99" t="s">
        <v>777</v>
      </c>
    </row>
    <row r="100" spans="1:5">
      <c r="B100" t="s">
        <v>826</v>
      </c>
      <c r="C100" s="4">
        <v>45924</v>
      </c>
      <c r="D100" s="2">
        <v>17280</v>
      </c>
      <c r="E100" t="s">
        <v>777</v>
      </c>
    </row>
    <row r="101" spans="1:5">
      <c r="B101" t="s">
        <v>827</v>
      </c>
      <c r="C101" s="4">
        <v>45924</v>
      </c>
      <c r="D101" s="2">
        <v>5500</v>
      </c>
      <c r="E101" t="s">
        <v>777</v>
      </c>
    </row>
    <row r="102" spans="1:5">
      <c r="A102" s="19" t="s">
        <v>81</v>
      </c>
      <c r="B102" t="s">
        <v>828</v>
      </c>
      <c r="C102" s="4">
        <v>45926</v>
      </c>
      <c r="D102" s="2">
        <v>14000</v>
      </c>
      <c r="E102" t="s">
        <v>777</v>
      </c>
    </row>
    <row r="103" spans="1:5">
      <c r="A103" s="19" t="s">
        <v>81</v>
      </c>
      <c r="B103" t="s">
        <v>821</v>
      </c>
      <c r="C103" s="4">
        <v>45929</v>
      </c>
      <c r="D103" s="2">
        <v>4000</v>
      </c>
      <c r="E103" t="s">
        <v>777</v>
      </c>
    </row>
    <row r="104" spans="1:5">
      <c r="A104" s="19" t="s">
        <v>112</v>
      </c>
      <c r="B104" t="s">
        <v>829</v>
      </c>
      <c r="C104" s="4">
        <v>45930</v>
      </c>
      <c r="D104" s="2">
        <v>34500</v>
      </c>
      <c r="E104" t="s">
        <v>21</v>
      </c>
    </row>
    <row r="105" spans="1:5">
      <c r="A105" s="19" t="s">
        <v>81</v>
      </c>
      <c r="B105" t="s">
        <v>812</v>
      </c>
      <c r="C105" s="4">
        <v>45931</v>
      </c>
      <c r="D105" s="2">
        <v>84480</v>
      </c>
      <c r="E105" t="s">
        <v>777</v>
      </c>
    </row>
    <row r="106" spans="1:5">
      <c r="A106" s="19" t="s">
        <v>81</v>
      </c>
      <c r="B106" t="s">
        <v>830</v>
      </c>
      <c r="C106" s="4">
        <v>45931</v>
      </c>
      <c r="D106" s="2">
        <v>5000</v>
      </c>
      <c r="E106" t="s">
        <v>777</v>
      </c>
    </row>
    <row r="107" spans="1:5">
      <c r="A107" s="19" t="s">
        <v>831</v>
      </c>
      <c r="B107" t="s">
        <v>832</v>
      </c>
      <c r="C107" s="4">
        <v>45936</v>
      </c>
      <c r="D107" s="2">
        <v>463338</v>
      </c>
      <c r="E107" t="s">
        <v>777</v>
      </c>
    </row>
    <row r="108" spans="1:5">
      <c r="A108" s="19" t="s">
        <v>81</v>
      </c>
      <c r="B108" t="s">
        <v>833</v>
      </c>
      <c r="C108" s="4">
        <v>45933</v>
      </c>
      <c r="D108" s="2">
        <v>26500</v>
      </c>
      <c r="E108" t="s">
        <v>777</v>
      </c>
    </row>
    <row r="109" spans="1:5">
      <c r="A109" s="19" t="s">
        <v>81</v>
      </c>
      <c r="B109" t="s">
        <v>834</v>
      </c>
      <c r="C109" s="4">
        <v>45936</v>
      </c>
      <c r="D109" s="2">
        <v>11500</v>
      </c>
      <c r="E109" t="s">
        <v>777</v>
      </c>
    </row>
    <row r="110" spans="1:5">
      <c r="A110" s="19" t="s">
        <v>81</v>
      </c>
      <c r="B110" t="s">
        <v>835</v>
      </c>
      <c r="C110" s="4">
        <v>45936</v>
      </c>
      <c r="D110" s="2">
        <v>38400</v>
      </c>
      <c r="E110" t="s">
        <v>777</v>
      </c>
    </row>
    <row r="111" spans="1:5">
      <c r="A111" s="19" t="s">
        <v>81</v>
      </c>
      <c r="B111" t="s">
        <v>836</v>
      </c>
      <c r="C111" s="4">
        <v>45937</v>
      </c>
      <c r="D111" s="2">
        <v>1500</v>
      </c>
      <c r="E111" t="s">
        <v>777</v>
      </c>
    </row>
    <row r="112" spans="1:5">
      <c r="A112" s="19" t="s">
        <v>81</v>
      </c>
      <c r="B112" t="s">
        <v>837</v>
      </c>
      <c r="C112" s="4">
        <v>45937</v>
      </c>
      <c r="D112" s="2">
        <v>1000</v>
      </c>
      <c r="E112" t="s">
        <v>777</v>
      </c>
    </row>
    <row r="113" spans="1:5">
      <c r="A113" s="19" t="s">
        <v>81</v>
      </c>
      <c r="B113" t="s">
        <v>820</v>
      </c>
      <c r="C113" s="4">
        <v>45939</v>
      </c>
      <c r="D113" s="2">
        <v>5000</v>
      </c>
      <c r="E113" t="s">
        <v>777</v>
      </c>
    </row>
    <row r="114" spans="1:5">
      <c r="A114" s="19" t="s">
        <v>81</v>
      </c>
      <c r="B114" t="s">
        <v>838</v>
      </c>
      <c r="C114" s="4">
        <v>45946</v>
      </c>
      <c r="D114" s="2">
        <v>1500</v>
      </c>
      <c r="E114" t="s">
        <v>777</v>
      </c>
    </row>
    <row r="115" spans="1:5">
      <c r="A115" s="19" t="s">
        <v>81</v>
      </c>
      <c r="B115" t="s">
        <v>839</v>
      </c>
      <c r="C115" s="4">
        <v>45946</v>
      </c>
      <c r="D115" s="2">
        <v>18500</v>
      </c>
      <c r="E115" t="s">
        <v>777</v>
      </c>
    </row>
    <row r="116" spans="1:5">
      <c r="A116" s="19" t="s">
        <v>813</v>
      </c>
      <c r="B116" t="s">
        <v>840</v>
      </c>
      <c r="C116" s="4">
        <v>45946</v>
      </c>
      <c r="D116" s="2">
        <v>61920</v>
      </c>
      <c r="E116" t="s">
        <v>777</v>
      </c>
    </row>
    <row r="117" spans="1:5">
      <c r="A117" s="19" t="s">
        <v>81</v>
      </c>
      <c r="B117" t="s">
        <v>841</v>
      </c>
      <c r="C117" s="4">
        <v>45950</v>
      </c>
      <c r="D117" s="2">
        <v>19500</v>
      </c>
      <c r="E117" t="s">
        <v>777</v>
      </c>
    </row>
    <row r="118" spans="1:5">
      <c r="A118" s="19" t="s">
        <v>81</v>
      </c>
      <c r="B118" t="s">
        <v>842</v>
      </c>
      <c r="C118" s="4">
        <v>45950</v>
      </c>
      <c r="D118" s="2">
        <v>10000</v>
      </c>
      <c r="E118" t="s">
        <v>777</v>
      </c>
    </row>
    <row r="119" spans="1:5">
      <c r="A119" s="19" t="s">
        <v>81</v>
      </c>
      <c r="B119" t="s">
        <v>843</v>
      </c>
      <c r="C119" s="4">
        <v>45957</v>
      </c>
      <c r="D119" s="2">
        <v>3000</v>
      </c>
      <c r="E119" t="s">
        <v>777</v>
      </c>
    </row>
    <row r="120" spans="1:5">
      <c r="A120" s="19" t="s">
        <v>81</v>
      </c>
      <c r="B120" t="s">
        <v>823</v>
      </c>
      <c r="C120" s="4">
        <v>45954</v>
      </c>
      <c r="D120" s="2">
        <v>500</v>
      </c>
      <c r="E120" t="s">
        <v>777</v>
      </c>
    </row>
    <row r="121" spans="1:5">
      <c r="A121" s="19" t="s">
        <v>112</v>
      </c>
      <c r="B121" t="s">
        <v>844</v>
      </c>
      <c r="C121" s="4">
        <v>45966</v>
      </c>
      <c r="D121" s="2">
        <v>32200</v>
      </c>
      <c r="E121" t="s">
        <v>21</v>
      </c>
    </row>
    <row r="122" spans="1:5">
      <c r="A122" s="19" t="s">
        <v>112</v>
      </c>
      <c r="B122" t="s">
        <v>845</v>
      </c>
      <c r="C122" s="4">
        <v>45966</v>
      </c>
      <c r="D122" s="2">
        <v>126500</v>
      </c>
      <c r="E122" t="s">
        <v>21</v>
      </c>
    </row>
    <row r="123" spans="1:5">
      <c r="A123" s="19" t="s">
        <v>112</v>
      </c>
      <c r="B123" t="s">
        <v>846</v>
      </c>
      <c r="C123" s="4">
        <v>45966</v>
      </c>
      <c r="D123" s="2">
        <v>154100</v>
      </c>
      <c r="E123" t="s">
        <v>21</v>
      </c>
    </row>
    <row r="124" spans="1:5">
      <c r="A124" s="19" t="s">
        <v>81</v>
      </c>
      <c r="B124" t="s">
        <v>847</v>
      </c>
      <c r="C124" s="4">
        <v>45971</v>
      </c>
      <c r="D124" s="2">
        <v>2000</v>
      </c>
      <c r="E124" t="s">
        <v>777</v>
      </c>
    </row>
    <row r="125" spans="1:5">
      <c r="A125" s="19" t="s">
        <v>81</v>
      </c>
      <c r="B125" t="s">
        <v>848</v>
      </c>
      <c r="C125" s="4">
        <v>45972</v>
      </c>
      <c r="D125" s="2">
        <v>500</v>
      </c>
      <c r="E125" t="s">
        <v>777</v>
      </c>
    </row>
    <row r="126" spans="1:5">
      <c r="A126" s="19" t="s">
        <v>81</v>
      </c>
      <c r="B126" t="s">
        <v>849</v>
      </c>
      <c r="C126" s="4">
        <v>45986</v>
      </c>
      <c r="D126" s="2">
        <v>500</v>
      </c>
      <c r="E126" t="s">
        <v>777</v>
      </c>
    </row>
    <row r="127" spans="1:5">
      <c r="A127" s="19" t="s">
        <v>81</v>
      </c>
      <c r="B127" t="s">
        <v>850</v>
      </c>
      <c r="C127" s="4">
        <v>45988</v>
      </c>
      <c r="D127" s="2">
        <v>2100</v>
      </c>
      <c r="E127" t="s">
        <v>777</v>
      </c>
    </row>
    <row r="128" spans="1:5">
      <c r="A128" s="19" t="s">
        <v>81</v>
      </c>
      <c r="B128" t="s">
        <v>851</v>
      </c>
      <c r="C128" s="4">
        <v>46000</v>
      </c>
      <c r="D128" s="2">
        <v>2500</v>
      </c>
      <c r="E128" t="s">
        <v>777</v>
      </c>
    </row>
    <row r="129" spans="1:5">
      <c r="A129" s="19" t="s">
        <v>81</v>
      </c>
      <c r="B129" t="s">
        <v>852</v>
      </c>
      <c r="C129" s="4">
        <v>46007</v>
      </c>
      <c r="D129" s="2">
        <v>500</v>
      </c>
      <c r="E129" t="s">
        <v>777</v>
      </c>
    </row>
    <row r="130" spans="1:5">
      <c r="A130" s="19" t="s">
        <v>81</v>
      </c>
      <c r="B130" t="s">
        <v>853</v>
      </c>
      <c r="C130" s="4">
        <v>46009</v>
      </c>
      <c r="D130" s="2">
        <v>16500</v>
      </c>
      <c r="E130" t="s">
        <v>777</v>
      </c>
    </row>
  </sheetData>
  <autoFilter xmlns:etc="http://www.wps.cn/officeDocument/2017/etCustomData" ref="A1:G130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opLeftCell="B40" workbookViewId="0">
      <selection activeCell="G55" sqref="G55"/>
    </sheetView>
  </sheetViews>
  <sheetFormatPr defaultColWidth="9.16071428571429" defaultRowHeight="17.6" outlineLevelCol="6"/>
  <cols>
    <col min="1" max="1" width="41.2142857142857" style="1" customWidth="1"/>
    <col min="2" max="2" width="30.5" customWidth="1"/>
    <col min="3" max="3" width="12" customWidth="1"/>
    <col min="4" max="4" width="14.6607142857143" style="2" customWidth="1"/>
    <col min="5" max="5" width="41.2142857142857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ht="18" spans="1:7">
      <c r="A2" s="1" t="s">
        <v>854</v>
      </c>
      <c r="B2" t="s">
        <v>855</v>
      </c>
      <c r="C2" s="4">
        <v>45863</v>
      </c>
      <c r="D2" s="2">
        <v>411786.6</v>
      </c>
      <c r="E2" s="7" t="s">
        <v>856</v>
      </c>
    </row>
    <row r="3" ht="18" spans="1:7">
      <c r="A3" s="1" t="s">
        <v>857</v>
      </c>
      <c r="B3" t="s">
        <v>858</v>
      </c>
      <c r="C3" s="4">
        <v>45863</v>
      </c>
      <c r="D3" s="2">
        <v>430261.74</v>
      </c>
      <c r="E3" s="7" t="s">
        <v>859</v>
      </c>
    </row>
    <row r="4" ht="18" spans="1:7">
      <c r="A4" s="7" t="s">
        <v>856</v>
      </c>
      <c r="B4" t="s">
        <v>860</v>
      </c>
      <c r="C4" s="4">
        <v>45877</v>
      </c>
      <c r="D4" s="2">
        <v>1691250.07</v>
      </c>
      <c r="E4" s="7" t="s">
        <v>856</v>
      </c>
    </row>
    <row r="5" ht="18" spans="1:7">
      <c r="A5" s="7" t="s">
        <v>859</v>
      </c>
      <c r="B5" t="s">
        <v>861</v>
      </c>
      <c r="C5" s="4">
        <v>45877</v>
      </c>
      <c r="D5" s="2">
        <v>1997493.08</v>
      </c>
      <c r="E5" s="7" t="s">
        <v>859</v>
      </c>
    </row>
    <row r="6" ht="18" spans="1:7">
      <c r="A6" s="7" t="s">
        <v>856</v>
      </c>
      <c r="B6" t="s">
        <v>862</v>
      </c>
      <c r="C6" s="4">
        <v>45894</v>
      </c>
      <c r="D6" s="2">
        <v>2065347.38</v>
      </c>
      <c r="E6" s="7" t="s">
        <v>856</v>
      </c>
    </row>
    <row r="7" ht="18" spans="1:7">
      <c r="A7" s="7" t="s">
        <v>859</v>
      </c>
      <c r="B7" t="s">
        <v>863</v>
      </c>
      <c r="C7" s="4">
        <v>45894</v>
      </c>
      <c r="D7" s="2">
        <v>2152439.24</v>
      </c>
      <c r="E7" s="7" t="s">
        <v>859</v>
      </c>
    </row>
    <row r="8" spans="1:7">
      <c r="A8" s="1" t="s">
        <v>864</v>
      </c>
      <c r="B8" t="s">
        <v>865</v>
      </c>
      <c r="C8" s="4">
        <v>45910</v>
      </c>
      <c r="D8" s="2">
        <v>4335.31</v>
      </c>
      <c r="E8" s="9" t="s">
        <v>866</v>
      </c>
    </row>
    <row r="9" ht="18" spans="1:7">
      <c r="A9" s="1" t="s">
        <v>854</v>
      </c>
      <c r="B9" t="s">
        <v>867</v>
      </c>
      <c r="C9" s="4">
        <v>45910</v>
      </c>
      <c r="D9" s="2">
        <v>2158526</v>
      </c>
      <c r="E9" s="7" t="s">
        <v>856</v>
      </c>
    </row>
    <row r="10" ht="18" spans="1:7">
      <c r="A10" s="1" t="s">
        <v>857</v>
      </c>
      <c r="B10" t="s">
        <v>868</v>
      </c>
      <c r="C10" s="4">
        <v>45910</v>
      </c>
      <c r="D10" s="2">
        <v>2453699.76</v>
      </c>
      <c r="E10" s="7" t="s">
        <v>859</v>
      </c>
    </row>
    <row r="11" spans="1:7">
      <c r="A11" s="1" t="s">
        <v>869</v>
      </c>
      <c r="B11" t="s">
        <v>870</v>
      </c>
      <c r="C11" s="4">
        <v>45910</v>
      </c>
      <c r="D11" s="2">
        <v>1125568.99</v>
      </c>
      <c r="E11" s="1" t="s">
        <v>869</v>
      </c>
    </row>
    <row r="12" spans="1:7">
      <c r="A12" s="1" t="s">
        <v>869</v>
      </c>
      <c r="B12" t="s">
        <v>870</v>
      </c>
      <c r="C12" s="4">
        <v>45910</v>
      </c>
      <c r="D12" s="2">
        <v>108877.4</v>
      </c>
      <c r="E12" s="1" t="s">
        <v>869</v>
      </c>
    </row>
    <row r="13" ht="18" spans="1:7">
      <c r="B13" t="s">
        <v>868</v>
      </c>
      <c r="C13" s="10">
        <v>45923</v>
      </c>
      <c r="D13" s="2">
        <v>43773.14</v>
      </c>
      <c r="E13" s="7" t="s">
        <v>859</v>
      </c>
    </row>
    <row r="14" ht="18" spans="1:7">
      <c r="B14" t="s">
        <v>871</v>
      </c>
      <c r="C14" s="4">
        <v>45925</v>
      </c>
      <c r="D14" s="2">
        <v>2503542.34</v>
      </c>
      <c r="E14" s="7" t="s">
        <v>859</v>
      </c>
    </row>
    <row r="15" ht="18" spans="1:7">
      <c r="B15" t="s">
        <v>872</v>
      </c>
      <c r="C15" s="4">
        <v>45925</v>
      </c>
      <c r="D15" s="2">
        <v>2158537</v>
      </c>
      <c r="E15" s="7" t="s">
        <v>856</v>
      </c>
    </row>
    <row r="16" spans="1:7">
      <c r="B16" t="s">
        <v>873</v>
      </c>
      <c r="C16" s="10">
        <v>45925</v>
      </c>
      <c r="D16" s="2">
        <v>1851643.14</v>
      </c>
      <c r="E16" s="1" t="s">
        <v>869</v>
      </c>
    </row>
    <row r="17" spans="1:7">
      <c r="B17" t="s">
        <v>874</v>
      </c>
      <c r="C17" s="4">
        <v>45925</v>
      </c>
      <c r="D17" s="2">
        <v>14087</v>
      </c>
      <c r="E17" s="9" t="s">
        <v>866</v>
      </c>
    </row>
    <row r="18" spans="1:7">
      <c r="B18" t="s">
        <v>875</v>
      </c>
      <c r="C18" s="4">
        <v>45925</v>
      </c>
      <c r="D18" s="2">
        <v>4332.28</v>
      </c>
      <c r="E18" s="9" t="s">
        <v>876</v>
      </c>
    </row>
    <row r="19" ht="18" spans="1:7">
      <c r="A19" s="1" t="s">
        <v>387</v>
      </c>
      <c r="B19" t="s">
        <v>877</v>
      </c>
      <c r="C19" s="4">
        <v>45933</v>
      </c>
      <c r="D19" s="2">
        <v>353143.14</v>
      </c>
      <c r="E19" s="7" t="s">
        <v>859</v>
      </c>
    </row>
    <row r="20" ht="18" spans="1:7">
      <c r="A20" s="1" t="s">
        <v>387</v>
      </c>
      <c r="B20" t="s">
        <v>878</v>
      </c>
      <c r="C20" s="4">
        <v>45933</v>
      </c>
      <c r="D20" s="2">
        <v>78963.52</v>
      </c>
      <c r="E20" s="7" t="s">
        <v>856</v>
      </c>
    </row>
    <row r="21" ht="18" spans="1:7">
      <c r="A21" s="1" t="s">
        <v>387</v>
      </c>
      <c r="B21" t="s">
        <v>879</v>
      </c>
      <c r="C21" s="4">
        <v>45938</v>
      </c>
      <c r="D21" s="2">
        <v>177488.18</v>
      </c>
      <c r="E21" s="7" t="s">
        <v>859</v>
      </c>
    </row>
    <row r="22" spans="1:7">
      <c r="A22" s="1" t="s">
        <v>387</v>
      </c>
      <c r="B22" t="s">
        <v>880</v>
      </c>
      <c r="C22" s="4">
        <v>45940</v>
      </c>
      <c r="D22" s="2">
        <v>56348</v>
      </c>
      <c r="E22" s="7" t="s">
        <v>876</v>
      </c>
    </row>
    <row r="23" spans="1:7">
      <c r="A23" s="1" t="s">
        <v>387</v>
      </c>
      <c r="B23" t="s">
        <v>881</v>
      </c>
      <c r="C23" s="4">
        <v>45940</v>
      </c>
      <c r="D23" s="2">
        <v>92110.58</v>
      </c>
      <c r="E23" s="7" t="s">
        <v>866</v>
      </c>
    </row>
    <row r="24" ht="18" spans="1:7">
      <c r="A24" s="1" t="s">
        <v>387</v>
      </c>
      <c r="B24" t="s">
        <v>882</v>
      </c>
      <c r="C24" s="4">
        <v>45940</v>
      </c>
      <c r="D24" s="2">
        <v>2102178</v>
      </c>
      <c r="E24" s="7" t="s">
        <v>856</v>
      </c>
    </row>
    <row r="25" ht="18" spans="1:7">
      <c r="A25" s="1" t="s">
        <v>387</v>
      </c>
      <c r="B25" t="s">
        <v>883</v>
      </c>
      <c r="C25" s="4">
        <v>45940</v>
      </c>
      <c r="D25" s="2">
        <v>2175206</v>
      </c>
      <c r="E25" s="7" t="s">
        <v>859</v>
      </c>
    </row>
    <row r="26" spans="1:7">
      <c r="A26" s="1" t="s">
        <v>387</v>
      </c>
      <c r="B26" t="s">
        <v>884</v>
      </c>
      <c r="C26" s="4">
        <v>45940</v>
      </c>
      <c r="D26" s="2">
        <v>11920.84</v>
      </c>
      <c r="E26" s="1" t="s">
        <v>869</v>
      </c>
    </row>
    <row r="27" spans="1:7">
      <c r="A27" s="1" t="s">
        <v>387</v>
      </c>
      <c r="B27" t="s">
        <v>884</v>
      </c>
      <c r="C27" s="4">
        <v>45940</v>
      </c>
      <c r="D27" s="2">
        <v>2477391.97</v>
      </c>
      <c r="E27" s="1" t="s">
        <v>869</v>
      </c>
    </row>
    <row r="28" ht="18" spans="1:7">
      <c r="A28" s="1" t="s">
        <v>387</v>
      </c>
      <c r="B28" t="s">
        <v>885</v>
      </c>
      <c r="C28" s="4">
        <v>45943</v>
      </c>
      <c r="D28" s="2">
        <v>116672.3</v>
      </c>
      <c r="E28" s="7" t="s">
        <v>856</v>
      </c>
    </row>
    <row r="29" customFormat="1" ht="18" spans="1:7">
      <c r="A29" s="19" t="s">
        <v>387</v>
      </c>
      <c r="B29" t="s">
        <v>886</v>
      </c>
      <c r="C29" s="4">
        <v>45943</v>
      </c>
      <c r="D29" s="2">
        <v>7593.07</v>
      </c>
      <c r="E29" s="7" t="s">
        <v>859</v>
      </c>
      <c r="F29" s="1"/>
      <c r="G29" s="8"/>
    </row>
    <row r="30" ht="18" spans="1:7">
      <c r="A30" s="1" t="s">
        <v>387</v>
      </c>
      <c r="B30" t="s">
        <v>887</v>
      </c>
      <c r="C30" s="4">
        <v>45951</v>
      </c>
      <c r="D30" s="2">
        <v>59589</v>
      </c>
      <c r="E30" s="7" t="s">
        <v>859</v>
      </c>
    </row>
    <row r="31" ht="18" spans="1:7">
      <c r="A31" s="1" t="s">
        <v>387</v>
      </c>
      <c r="B31" t="s">
        <v>888</v>
      </c>
      <c r="C31" s="4">
        <v>45951</v>
      </c>
      <c r="D31" s="2">
        <v>527968.81</v>
      </c>
      <c r="E31" s="7" t="s">
        <v>859</v>
      </c>
    </row>
    <row r="32" spans="1:7">
      <c r="B32" t="s">
        <v>889</v>
      </c>
      <c r="C32" s="4">
        <v>45958</v>
      </c>
      <c r="D32" s="2">
        <v>414571.95</v>
      </c>
      <c r="E32" s="7" t="s">
        <v>876</v>
      </c>
    </row>
    <row r="33" spans="2:5">
      <c r="B33" t="s">
        <v>889</v>
      </c>
      <c r="C33" s="4">
        <v>45958</v>
      </c>
      <c r="D33" s="2">
        <v>10733.33</v>
      </c>
      <c r="E33" s="7" t="s">
        <v>876</v>
      </c>
    </row>
    <row r="34" spans="2:5">
      <c r="B34" t="s">
        <v>890</v>
      </c>
      <c r="C34" s="4">
        <v>45958</v>
      </c>
      <c r="D34" s="2">
        <v>94959.41</v>
      </c>
      <c r="E34" s="7" t="s">
        <v>866</v>
      </c>
    </row>
    <row r="35" ht="18" spans="2:5">
      <c r="B35" t="s">
        <v>891</v>
      </c>
      <c r="C35" s="4">
        <v>45958</v>
      </c>
      <c r="D35" s="2">
        <v>1853804.76</v>
      </c>
      <c r="E35" s="7" t="s">
        <v>856</v>
      </c>
    </row>
    <row r="36" ht="18" spans="2:5">
      <c r="B36" t="s">
        <v>892</v>
      </c>
      <c r="C36" s="4">
        <v>45958</v>
      </c>
      <c r="D36" s="2">
        <v>2705072.89</v>
      </c>
      <c r="E36" s="7" t="s">
        <v>859</v>
      </c>
    </row>
    <row r="37" spans="2:5">
      <c r="B37" t="s">
        <v>893</v>
      </c>
      <c r="C37" s="4">
        <v>45958</v>
      </c>
      <c r="D37" s="2">
        <v>2533106.97</v>
      </c>
      <c r="E37" s="1" t="s">
        <v>869</v>
      </c>
    </row>
    <row r="38" spans="2:5">
      <c r="B38" t="s">
        <v>894</v>
      </c>
      <c r="C38" s="4">
        <v>45958</v>
      </c>
      <c r="D38" s="2">
        <v>45317.75</v>
      </c>
      <c r="E38" s="9" t="s">
        <v>895</v>
      </c>
    </row>
    <row r="39" ht="18" spans="2:5">
      <c r="B39" t="s">
        <v>896</v>
      </c>
      <c r="C39" s="4">
        <v>45962</v>
      </c>
      <c r="D39" s="2">
        <v>399442.51</v>
      </c>
      <c r="E39" s="7" t="s">
        <v>859</v>
      </c>
    </row>
    <row r="40" ht="18" spans="2:5">
      <c r="B40" t="s">
        <v>897</v>
      </c>
      <c r="C40" s="4">
        <v>45962</v>
      </c>
      <c r="D40" s="2">
        <v>149489.69</v>
      </c>
      <c r="E40" s="7" t="s">
        <v>859</v>
      </c>
    </row>
    <row r="41" ht="18" spans="2:5">
      <c r="B41" t="s">
        <v>898</v>
      </c>
      <c r="C41" s="4">
        <v>45962</v>
      </c>
      <c r="D41" s="2">
        <v>34238.5</v>
      </c>
      <c r="E41" s="7" t="s">
        <v>856</v>
      </c>
    </row>
    <row r="42" spans="2:5">
      <c r="B42" t="s">
        <v>899</v>
      </c>
      <c r="C42" s="4">
        <v>45962</v>
      </c>
      <c r="D42" s="2">
        <v>84304.62</v>
      </c>
      <c r="E42" s="9" t="s">
        <v>895</v>
      </c>
    </row>
    <row r="43" spans="2:5">
      <c r="B43" t="s">
        <v>866</v>
      </c>
      <c r="C43" s="4">
        <v>45962</v>
      </c>
      <c r="D43" s="2">
        <v>105411.83</v>
      </c>
      <c r="E43" s="1" t="s">
        <v>866</v>
      </c>
    </row>
    <row r="44" spans="2:5">
      <c r="B44" t="s">
        <v>876</v>
      </c>
      <c r="C44" s="4">
        <v>45962</v>
      </c>
      <c r="D44" s="2">
        <v>50732.95</v>
      </c>
      <c r="E44" s="1" t="s">
        <v>876</v>
      </c>
    </row>
    <row r="45" ht="18" spans="2:5">
      <c r="B45" t="s">
        <v>857</v>
      </c>
      <c r="C45" s="4">
        <v>45971</v>
      </c>
      <c r="D45" s="2">
        <v>2613866.55</v>
      </c>
      <c r="E45" s="7" t="s">
        <v>859</v>
      </c>
    </row>
    <row r="46" ht="18" spans="2:5">
      <c r="B46" t="s">
        <v>854</v>
      </c>
      <c r="C46" s="4">
        <v>45971</v>
      </c>
      <c r="D46" s="2">
        <v>1952567.13</v>
      </c>
      <c r="E46" s="7" t="s">
        <v>856</v>
      </c>
    </row>
    <row r="47" spans="2:5">
      <c r="B47" t="s">
        <v>869</v>
      </c>
      <c r="C47" s="4">
        <v>45971</v>
      </c>
      <c r="D47" s="2">
        <v>2891705.28</v>
      </c>
      <c r="E47" s="1" t="s">
        <v>869</v>
      </c>
    </row>
    <row r="48" spans="2:5">
      <c r="B48" t="s">
        <v>900</v>
      </c>
      <c r="C48" s="4">
        <v>45971</v>
      </c>
      <c r="D48" s="2">
        <v>736745.94</v>
      </c>
      <c r="E48" s="1" t="s">
        <v>876</v>
      </c>
    </row>
    <row r="49" ht="18" spans="1:5">
      <c r="A49" s="1" t="s">
        <v>387</v>
      </c>
      <c r="B49" t="s">
        <v>901</v>
      </c>
      <c r="C49" s="4">
        <v>45973</v>
      </c>
      <c r="D49" s="2">
        <v>177215.19</v>
      </c>
      <c r="E49" s="7" t="s">
        <v>859</v>
      </c>
    </row>
    <row r="50" ht="18" spans="1:5">
      <c r="A50" s="1" t="s">
        <v>387</v>
      </c>
      <c r="B50" t="s">
        <v>902</v>
      </c>
      <c r="C50" s="4">
        <v>45973</v>
      </c>
      <c r="D50" s="2">
        <v>233801.45</v>
      </c>
      <c r="E50" s="7" t="s">
        <v>856</v>
      </c>
    </row>
    <row r="51" spans="1:5">
      <c r="A51" s="1" t="s">
        <v>387</v>
      </c>
      <c r="B51" t="s">
        <v>903</v>
      </c>
      <c r="C51" s="4">
        <v>45973</v>
      </c>
      <c r="D51" s="2">
        <v>306204.97</v>
      </c>
      <c r="E51" s="1" t="s">
        <v>869</v>
      </c>
    </row>
    <row r="52" spans="1:5">
      <c r="A52" s="1" t="s">
        <v>387</v>
      </c>
      <c r="B52" t="s">
        <v>904</v>
      </c>
      <c r="C52" s="4">
        <v>45973</v>
      </c>
      <c r="D52" s="2">
        <v>403472.11</v>
      </c>
      <c r="E52" s="1" t="s">
        <v>876</v>
      </c>
    </row>
    <row r="53" ht="18" spans="1:5">
      <c r="A53" s="1" t="s">
        <v>387</v>
      </c>
      <c r="B53" t="s">
        <v>901</v>
      </c>
      <c r="C53" s="4">
        <v>45975</v>
      </c>
      <c r="D53" s="2">
        <v>39236.46</v>
      </c>
      <c r="E53" s="7" t="s">
        <v>859</v>
      </c>
    </row>
    <row r="54" ht="18" spans="1:5">
      <c r="A54" s="1" t="s">
        <v>387</v>
      </c>
      <c r="B54" t="s">
        <v>902</v>
      </c>
      <c r="C54" s="4">
        <v>45975</v>
      </c>
      <c r="D54" s="2">
        <v>59318.11</v>
      </c>
      <c r="E54" s="7" t="s">
        <v>856</v>
      </c>
    </row>
    <row r="55" spans="1:5">
      <c r="B55" t="s">
        <v>903</v>
      </c>
      <c r="C55" s="4">
        <v>45982</v>
      </c>
      <c r="D55" s="2">
        <v>2380028.33</v>
      </c>
      <c r="E55" s="1" t="s">
        <v>869</v>
      </c>
    </row>
    <row r="56" ht="18" spans="1:5">
      <c r="B56" t="s">
        <v>905</v>
      </c>
      <c r="C56" s="4">
        <v>45982</v>
      </c>
      <c r="D56" s="2">
        <v>4413544.47</v>
      </c>
      <c r="E56" s="7" t="s">
        <v>859</v>
      </c>
    </row>
    <row r="57" spans="1:5">
      <c r="B57" t="s">
        <v>906</v>
      </c>
      <c r="C57" s="4">
        <v>45987</v>
      </c>
      <c r="D57" s="2">
        <v>171061</v>
      </c>
      <c r="E57" s="1" t="s">
        <v>876</v>
      </c>
    </row>
    <row r="58" spans="1:5">
      <c r="B58" t="s">
        <v>907</v>
      </c>
      <c r="C58" s="4">
        <v>45987</v>
      </c>
      <c r="D58" s="2">
        <v>1164650</v>
      </c>
      <c r="E58" s="1" t="s">
        <v>869</v>
      </c>
    </row>
    <row r="59" ht="18" spans="1:5">
      <c r="B59" t="s">
        <v>908</v>
      </c>
      <c r="C59" s="4">
        <v>45987</v>
      </c>
      <c r="D59" s="2">
        <v>1639324</v>
      </c>
      <c r="E59" s="7" t="s">
        <v>856</v>
      </c>
    </row>
    <row r="60" spans="1:5">
      <c r="B60" t="s">
        <v>909</v>
      </c>
      <c r="C60" s="4">
        <v>46001</v>
      </c>
      <c r="D60" s="2">
        <v>1375682</v>
      </c>
      <c r="E60" s="1" t="s">
        <v>854</v>
      </c>
    </row>
    <row r="61" spans="1:5">
      <c r="B61" t="s">
        <v>910</v>
      </c>
      <c r="C61" s="4">
        <v>46001</v>
      </c>
      <c r="D61" s="2">
        <v>625315</v>
      </c>
      <c r="E61" s="1" t="s">
        <v>869</v>
      </c>
    </row>
    <row r="62" spans="1:5">
      <c r="B62" t="s">
        <v>911</v>
      </c>
      <c r="C62" s="4">
        <v>46016</v>
      </c>
      <c r="D62" s="2">
        <v>1375693</v>
      </c>
      <c r="E62" s="1" t="s">
        <v>854</v>
      </c>
    </row>
    <row r="63" spans="1:5">
      <c r="B63" t="s">
        <v>912</v>
      </c>
      <c r="C63" s="4">
        <v>46016</v>
      </c>
      <c r="D63" s="2">
        <v>625310</v>
      </c>
      <c r="E63" s="1" t="s">
        <v>869</v>
      </c>
    </row>
  </sheetData>
  <autoFilter xmlns:etc="http://www.wps.cn/officeDocument/2017/etCustomData" ref="A1:G63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opLeftCell="B1" workbookViewId="0">
      <selection activeCell="E20" sqref="E20:E22"/>
    </sheetView>
  </sheetViews>
  <sheetFormatPr defaultColWidth="9.16071428571429" defaultRowHeight="17.6" outlineLevelCol="6"/>
  <cols>
    <col min="1" max="1" width="41.2142857142857" style="1" customWidth="1"/>
    <col min="2" max="2" width="30.5" customWidth="1"/>
    <col min="3" max="3" width="12" customWidth="1"/>
    <col min="4" max="4" width="14.6607142857143" style="2" customWidth="1"/>
    <col min="5" max="5" width="41.2142857142857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="1" customFormat="1" spans="1:7">
      <c r="A2" s="7" t="s">
        <v>572</v>
      </c>
      <c r="B2" t="s">
        <v>913</v>
      </c>
      <c r="C2" s="4">
        <v>45833</v>
      </c>
      <c r="D2" s="3">
        <v>876750</v>
      </c>
      <c r="E2" s="7" t="s">
        <v>572</v>
      </c>
      <c r="G2" s="8"/>
    </row>
    <row r="3" spans="1:7">
      <c r="A3" s="7" t="s">
        <v>572</v>
      </c>
      <c r="B3" t="s">
        <v>914</v>
      </c>
      <c r="C3" s="4">
        <v>45848</v>
      </c>
      <c r="D3" s="2">
        <v>1305150</v>
      </c>
      <c r="E3" s="7" t="s">
        <v>572</v>
      </c>
    </row>
    <row r="4" spans="1:7">
      <c r="A4" s="7" t="s">
        <v>915</v>
      </c>
      <c r="B4" t="s">
        <v>916</v>
      </c>
      <c r="C4" s="4">
        <v>45855</v>
      </c>
      <c r="D4" s="2">
        <v>365300</v>
      </c>
      <c r="E4" s="7" t="s">
        <v>915</v>
      </c>
    </row>
    <row r="5" spans="1:7">
      <c r="A5" s="1" t="s">
        <v>572</v>
      </c>
      <c r="B5" t="s">
        <v>917</v>
      </c>
      <c r="C5" s="4">
        <v>45863</v>
      </c>
      <c r="D5" s="2">
        <v>2004975</v>
      </c>
      <c r="E5" s="7" t="s">
        <v>572</v>
      </c>
    </row>
    <row r="6" spans="1:7">
      <c r="A6" s="1" t="s">
        <v>915</v>
      </c>
      <c r="B6" t="s">
        <v>918</v>
      </c>
      <c r="C6" s="4">
        <v>45863</v>
      </c>
      <c r="D6" s="2">
        <v>1224925</v>
      </c>
      <c r="E6" s="7" t="s">
        <v>915</v>
      </c>
    </row>
    <row r="7" spans="1:7">
      <c r="A7" s="7" t="s">
        <v>572</v>
      </c>
      <c r="B7" t="s">
        <v>919</v>
      </c>
      <c r="C7" s="4">
        <v>45895</v>
      </c>
      <c r="D7" s="2">
        <v>2110500</v>
      </c>
      <c r="E7" s="7" t="s">
        <v>572</v>
      </c>
    </row>
    <row r="8" spans="1:7">
      <c r="A8" s="1" t="s">
        <v>915</v>
      </c>
      <c r="B8" t="s">
        <v>920</v>
      </c>
      <c r="C8" s="4">
        <v>45896</v>
      </c>
      <c r="D8" s="2">
        <v>1906775</v>
      </c>
      <c r="E8" s="7" t="s">
        <v>915</v>
      </c>
    </row>
    <row r="9" spans="1:7">
      <c r="A9" s="1" t="s">
        <v>572</v>
      </c>
      <c r="B9" t="s">
        <v>921</v>
      </c>
      <c r="C9" s="4">
        <v>45903</v>
      </c>
      <c r="D9" s="2">
        <v>1631700</v>
      </c>
      <c r="E9" s="1" t="s">
        <v>572</v>
      </c>
    </row>
    <row r="10" spans="1:7">
      <c r="A10" s="1" t="s">
        <v>922</v>
      </c>
      <c r="B10" t="s">
        <v>923</v>
      </c>
      <c r="C10" s="4">
        <v>45930</v>
      </c>
      <c r="D10" s="2">
        <v>863200</v>
      </c>
      <c r="E10" s="1" t="s">
        <v>922</v>
      </c>
    </row>
    <row r="11" customFormat="1" spans="1:7">
      <c r="A11" s="1" t="s">
        <v>915</v>
      </c>
      <c r="B11" t="s">
        <v>924</v>
      </c>
      <c r="C11" s="4">
        <v>45939</v>
      </c>
      <c r="D11" s="5">
        <v>2170350</v>
      </c>
      <c r="E11" s="1" t="s">
        <v>915</v>
      </c>
    </row>
    <row r="12" spans="1:7">
      <c r="A12" s="1" t="s">
        <v>922</v>
      </c>
      <c r="B12" t="s">
        <v>925</v>
      </c>
      <c r="C12" s="4">
        <v>45940</v>
      </c>
      <c r="D12" s="2">
        <v>807950</v>
      </c>
      <c r="E12" s="1" t="s">
        <v>922</v>
      </c>
    </row>
    <row r="13" spans="1:7">
      <c r="A13" s="1" t="s">
        <v>922</v>
      </c>
      <c r="B13" t="s">
        <v>926</v>
      </c>
      <c r="C13" s="4">
        <v>45966</v>
      </c>
      <c r="D13" s="2">
        <v>751075</v>
      </c>
      <c r="E13" s="1" t="s">
        <v>922</v>
      </c>
    </row>
    <row r="14" spans="1:7">
      <c r="A14" s="1" t="s">
        <v>572</v>
      </c>
      <c r="B14" t="s">
        <v>927</v>
      </c>
      <c r="C14" s="4">
        <v>45966</v>
      </c>
      <c r="D14" s="2">
        <v>1021650</v>
      </c>
      <c r="E14" s="1" t="s">
        <v>572</v>
      </c>
    </row>
    <row r="15" spans="1:7">
      <c r="A15" s="1" t="s">
        <v>915</v>
      </c>
      <c r="B15" t="s">
        <v>928</v>
      </c>
      <c r="C15" s="4">
        <v>45967</v>
      </c>
      <c r="D15" s="2">
        <v>3308175</v>
      </c>
      <c r="E15" s="1" t="s">
        <v>915</v>
      </c>
    </row>
    <row r="16" spans="1:7">
      <c r="A16" s="1" t="s">
        <v>929</v>
      </c>
      <c r="B16" t="s">
        <v>930</v>
      </c>
      <c r="C16" s="4">
        <v>45971</v>
      </c>
      <c r="D16" s="2">
        <v>1696500</v>
      </c>
      <c r="E16" s="1" t="s">
        <v>929</v>
      </c>
    </row>
    <row r="17" spans="1:5">
      <c r="A17" s="1" t="s">
        <v>922</v>
      </c>
      <c r="B17" t="s">
        <v>931</v>
      </c>
      <c r="C17" s="4">
        <v>45981</v>
      </c>
      <c r="D17" s="2">
        <v>764400</v>
      </c>
      <c r="E17" s="1" t="s">
        <v>922</v>
      </c>
    </row>
    <row r="18" spans="1:5">
      <c r="A18" s="1" t="s">
        <v>915</v>
      </c>
      <c r="B18" t="s">
        <v>932</v>
      </c>
      <c r="C18" s="4">
        <v>45981</v>
      </c>
      <c r="D18" s="2">
        <v>2180750</v>
      </c>
      <c r="E18" s="1" t="s">
        <v>915</v>
      </c>
    </row>
    <row r="19" spans="1:5">
      <c r="A19" s="1" t="s">
        <v>929</v>
      </c>
      <c r="B19" t="s">
        <v>933</v>
      </c>
      <c r="C19" s="4">
        <v>45987</v>
      </c>
      <c r="D19" s="2">
        <v>819000</v>
      </c>
      <c r="E19" s="1" t="s">
        <v>929</v>
      </c>
    </row>
    <row r="20" spans="1:5">
      <c r="A20" s="1" t="s">
        <v>922</v>
      </c>
      <c r="B20" t="s">
        <v>934</v>
      </c>
      <c r="C20" s="4">
        <v>45993</v>
      </c>
      <c r="D20" s="2">
        <v>717600</v>
      </c>
      <c r="E20" s="1" t="s">
        <v>922</v>
      </c>
    </row>
    <row r="21" spans="1:5">
      <c r="A21" s="1" t="s">
        <v>922</v>
      </c>
      <c r="B21" t="s">
        <v>935</v>
      </c>
      <c r="C21" s="4">
        <v>46003</v>
      </c>
      <c r="D21" s="2">
        <v>684450</v>
      </c>
      <c r="E21" s="1" t="s">
        <v>922</v>
      </c>
    </row>
    <row r="22" spans="1:5">
      <c r="A22" s="1" t="s">
        <v>922</v>
      </c>
      <c r="B22" t="s">
        <v>936</v>
      </c>
      <c r="C22" s="4">
        <v>46017</v>
      </c>
      <c r="D22" s="2">
        <v>681200</v>
      </c>
      <c r="E22" s="1" t="s">
        <v>922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11" sqref="E11"/>
    </sheetView>
  </sheetViews>
  <sheetFormatPr defaultColWidth="9.16071428571429" defaultRowHeight="17.6" outlineLevelCol="6"/>
  <cols>
    <col min="1" max="1" width="35.3303571428571" style="7" customWidth="1"/>
    <col min="2" max="2" width="28" customWidth="1"/>
    <col min="3" max="3" width="12" customWidth="1"/>
    <col min="4" max="4" width="16" style="2" customWidth="1"/>
    <col min="5" max="5" width="35.3303571428571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pans="1:7">
      <c r="A2" s="7" t="s">
        <v>550</v>
      </c>
      <c r="B2" s="1" t="s">
        <v>937</v>
      </c>
      <c r="C2" s="4">
        <v>45757</v>
      </c>
      <c r="D2" s="2">
        <v>2437350</v>
      </c>
      <c r="E2" s="7" t="s">
        <v>550</v>
      </c>
      <c r="F2" s="1" t="s">
        <v>8</v>
      </c>
      <c r="G2" s="8" t="s">
        <v>938</v>
      </c>
    </row>
    <row r="3" spans="1:7">
      <c r="A3" s="7" t="s">
        <v>550</v>
      </c>
      <c r="B3" t="s">
        <v>939</v>
      </c>
      <c r="C3" s="4">
        <v>45806</v>
      </c>
      <c r="D3" s="2">
        <v>3226797.5</v>
      </c>
      <c r="E3" s="7" t="s">
        <v>550</v>
      </c>
      <c r="G3" s="8" t="s">
        <v>940</v>
      </c>
    </row>
    <row r="4" spans="1:7">
      <c r="A4" s="7" t="s">
        <v>550</v>
      </c>
      <c r="B4" t="s">
        <v>941</v>
      </c>
      <c r="C4" s="4">
        <v>45791</v>
      </c>
      <c r="D4" s="2">
        <v>282214</v>
      </c>
      <c r="E4" s="7" t="s">
        <v>550</v>
      </c>
    </row>
    <row r="5" spans="1:7">
      <c r="A5" s="7" t="s">
        <v>550</v>
      </c>
      <c r="B5" t="s">
        <v>942</v>
      </c>
      <c r="C5" s="4">
        <v>45841</v>
      </c>
      <c r="D5" s="2">
        <v>3569022</v>
      </c>
      <c r="E5" s="7" t="s">
        <v>550</v>
      </c>
    </row>
    <row r="6" spans="1:7">
      <c r="A6" s="7" t="s">
        <v>596</v>
      </c>
      <c r="B6" t="s">
        <v>943</v>
      </c>
      <c r="C6" s="4">
        <v>45856</v>
      </c>
      <c r="D6" s="2">
        <v>4260312.36</v>
      </c>
      <c r="E6" s="7" t="s">
        <v>596</v>
      </c>
    </row>
    <row r="7" spans="1:7">
      <c r="A7" s="7" t="s">
        <v>596</v>
      </c>
      <c r="B7" t="s">
        <v>944</v>
      </c>
      <c r="C7" s="4">
        <v>45894</v>
      </c>
      <c r="D7" s="2">
        <v>17273152.96</v>
      </c>
      <c r="E7" s="7" t="s">
        <v>596</v>
      </c>
    </row>
    <row r="8" spans="1:7">
      <c r="A8" s="7" t="s">
        <v>596</v>
      </c>
      <c r="B8" t="s">
        <v>945</v>
      </c>
      <c r="C8" s="4">
        <v>45898</v>
      </c>
      <c r="D8" s="2">
        <v>3004821.26</v>
      </c>
      <c r="E8" s="7" t="s">
        <v>596</v>
      </c>
    </row>
    <row r="9" spans="1:7">
      <c r="A9" t="s">
        <v>946</v>
      </c>
      <c r="B9" s="2" t="s">
        <v>945</v>
      </c>
      <c r="C9" s="18">
        <v>45931</v>
      </c>
      <c r="D9" s="2">
        <v>2710082.32</v>
      </c>
      <c r="E9" t="s">
        <v>946</v>
      </c>
    </row>
    <row r="10" spans="1:7">
      <c r="A10" s="7" t="s">
        <v>946</v>
      </c>
      <c r="B10" t="s">
        <v>945</v>
      </c>
      <c r="C10" s="4">
        <v>45940</v>
      </c>
      <c r="D10" s="2">
        <v>2178797</v>
      </c>
      <c r="E10" s="7" t="s">
        <v>946</v>
      </c>
    </row>
    <row r="11" spans="1:7">
      <c r="A11" s="7" t="s">
        <v>946</v>
      </c>
      <c r="B11" t="s">
        <v>945</v>
      </c>
      <c r="C11" s="4">
        <v>46009</v>
      </c>
      <c r="D11" s="2">
        <v>1349226.6</v>
      </c>
      <c r="E11" s="7" t="s">
        <v>946</v>
      </c>
    </row>
    <row r="21" spans="3:3">
      <c r="C21" s="11"/>
    </row>
    <row r="24" spans="3:3">
      <c r="C24" s="11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G13" sqref="G13"/>
    </sheetView>
  </sheetViews>
  <sheetFormatPr defaultColWidth="9.16071428571429" defaultRowHeight="17.6" outlineLevelCol="6"/>
  <cols>
    <col min="1" max="1" width="12" customWidth="1"/>
    <col min="2" max="2" width="12.8303571428571" style="2" customWidth="1"/>
    <col min="3" max="3" width="5" style="7" customWidth="1"/>
    <col min="4" max="4" width="8.5" style="1" customWidth="1"/>
    <col min="5" max="5" width="8.5" style="8" customWidth="1"/>
    <col min="6" max="6" width="33.6428571428571" style="7" customWidth="1"/>
    <col min="7" max="7" width="28" style="1" customWidth="1"/>
  </cols>
  <sheetData>
    <row r="1" s="1" customFormat="1" ht="18" spans="1:7">
      <c r="A1" s="1" t="s">
        <v>2</v>
      </c>
      <c r="B1" s="3" t="s">
        <v>3</v>
      </c>
      <c r="C1" s="7" t="s">
        <v>263</v>
      </c>
      <c r="D1" s="1" t="s">
        <v>5</v>
      </c>
      <c r="E1" s="8" t="s">
        <v>6</v>
      </c>
      <c r="F1" s="7" t="s">
        <v>0</v>
      </c>
      <c r="G1" s="1" t="s">
        <v>1</v>
      </c>
    </row>
    <row r="2" spans="1:7">
      <c r="A2" s="4">
        <v>45702</v>
      </c>
      <c r="B2" s="2">
        <v>271200</v>
      </c>
      <c r="D2" s="1" t="s">
        <v>8</v>
      </c>
      <c r="E2" s="8" t="s">
        <v>947</v>
      </c>
      <c r="F2" s="7" t="s">
        <v>948</v>
      </c>
      <c r="G2" s="1" t="s">
        <v>949</v>
      </c>
    </row>
    <row r="3" spans="1:7">
      <c r="A3" s="4">
        <v>45793</v>
      </c>
      <c r="B3" s="2">
        <v>5247800</v>
      </c>
      <c r="E3" s="8" t="s">
        <v>950</v>
      </c>
      <c r="F3" s="7" t="s">
        <v>948</v>
      </c>
      <c r="G3" s="1" t="s">
        <v>949</v>
      </c>
    </row>
    <row r="4" spans="1:7">
      <c r="A4" s="4">
        <v>45818</v>
      </c>
      <c r="B4" s="2">
        <v>1350000</v>
      </c>
      <c r="F4" s="7" t="s">
        <v>951</v>
      </c>
      <c r="G4" s="1" t="s">
        <v>952</v>
      </c>
    </row>
    <row r="5" spans="1:7">
      <c r="A5" s="4"/>
    </row>
    <row r="6" spans="1:7">
      <c r="A6" s="4"/>
    </row>
    <row r="7" spans="1:7">
      <c r="A7" s="4"/>
    </row>
    <row r="8" spans="1:7">
      <c r="A8" s="4"/>
    </row>
    <row r="10" spans="1:7">
      <c r="A10" s="11"/>
    </row>
    <row r="11" spans="1:7">
      <c r="A11" s="11"/>
    </row>
    <row r="22" spans="1:1">
      <c r="A22" s="11"/>
    </row>
    <row r="25" spans="1:1">
      <c r="A25" s="11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6" sqref="A6"/>
    </sheetView>
  </sheetViews>
  <sheetFormatPr defaultColWidth="9.16071428571429" defaultRowHeight="17.6" outlineLevelCol="6"/>
  <cols>
    <col min="1" max="1" width="12" customWidth="1"/>
    <col min="2" max="2" width="14.6607142857143" style="2" customWidth="1"/>
    <col min="3" max="3" width="29.8303571428571" style="7" customWidth="1"/>
    <col min="4" max="4" width="8.5" style="1" customWidth="1"/>
    <col min="5" max="5" width="8.5" style="8" customWidth="1"/>
    <col min="6" max="6" width="36.6607142857143" style="1" customWidth="1"/>
    <col min="7" max="7" width="24.5" customWidth="1"/>
    <col min="8" max="8" width="11.3303571428571" customWidth="1"/>
  </cols>
  <sheetData>
    <row r="1" s="1" customFormat="1" ht="18" spans="1:7">
      <c r="A1" s="1" t="s">
        <v>2</v>
      </c>
      <c r="B1" s="3" t="s">
        <v>3</v>
      </c>
      <c r="C1" s="7" t="s">
        <v>263</v>
      </c>
      <c r="D1" s="1" t="s">
        <v>5</v>
      </c>
      <c r="E1" s="8" t="s">
        <v>6</v>
      </c>
      <c r="F1" s="1" t="s">
        <v>235</v>
      </c>
      <c r="G1" s="1" t="s">
        <v>1</v>
      </c>
    </row>
    <row r="2" spans="1:7">
      <c r="A2" s="4">
        <v>45772</v>
      </c>
      <c r="B2" s="2">
        <v>2653800</v>
      </c>
      <c r="C2" s="7" t="s">
        <v>953</v>
      </c>
      <c r="D2" s="1" t="s">
        <v>8</v>
      </c>
      <c r="E2" s="8" t="s">
        <v>954</v>
      </c>
      <c r="F2" s="7" t="s">
        <v>953</v>
      </c>
      <c r="G2" t="s">
        <v>955</v>
      </c>
    </row>
    <row r="3" spans="1:7">
      <c r="A3" s="4">
        <v>45772</v>
      </c>
      <c r="B3" s="2">
        <v>2319500</v>
      </c>
      <c r="C3" s="7" t="s">
        <v>956</v>
      </c>
      <c r="D3" s="1" t="s">
        <v>8</v>
      </c>
      <c r="E3" s="8" t="s">
        <v>957</v>
      </c>
      <c r="F3" s="7" t="s">
        <v>956</v>
      </c>
      <c r="G3" t="s">
        <v>958</v>
      </c>
    </row>
    <row r="4" spans="1:7">
      <c r="A4" s="4">
        <v>45791</v>
      </c>
      <c r="B4" s="2">
        <v>150375</v>
      </c>
      <c r="C4" s="1" t="s">
        <v>946</v>
      </c>
      <c r="F4" s="1" t="s">
        <v>946</v>
      </c>
      <c r="G4" s="1" t="s">
        <v>959</v>
      </c>
    </row>
    <row r="5" spans="1:7">
      <c r="A5" s="4">
        <v>45888</v>
      </c>
      <c r="B5" s="2">
        <v>635000</v>
      </c>
      <c r="C5" s="1" t="s">
        <v>953</v>
      </c>
      <c r="F5" s="1" t="s">
        <v>953</v>
      </c>
      <c r="G5" t="s">
        <v>960</v>
      </c>
    </row>
    <row r="6" spans="1:7">
      <c r="A6" s="4"/>
      <c r="C6" s="1"/>
      <c r="F6" s="7"/>
    </row>
    <row r="7" spans="1:7">
      <c r="A7" s="4"/>
      <c r="C7" s="1"/>
      <c r="F7" s="7"/>
    </row>
    <row r="8" spans="1:7">
      <c r="A8" s="4"/>
      <c r="C8" s="1"/>
      <c r="F8" s="7"/>
    </row>
    <row r="9" spans="1:7">
      <c r="A9" s="4"/>
      <c r="C9" s="1"/>
      <c r="F9" s="7"/>
    </row>
    <row r="10" spans="1:7">
      <c r="A10" s="4"/>
      <c r="C10" s="1"/>
      <c r="F10" s="7"/>
    </row>
    <row r="11" spans="1:7">
      <c r="A11" s="4"/>
      <c r="C11" s="1"/>
      <c r="F11" s="7"/>
    </row>
    <row r="12" spans="1:7">
      <c r="A12" s="4"/>
      <c r="C12" s="1"/>
      <c r="F12" s="7"/>
    </row>
    <row r="13" spans="1:7">
      <c r="A13" s="4"/>
      <c r="C13" s="1"/>
      <c r="F13" s="7"/>
    </row>
    <row r="14" spans="1:7">
      <c r="A14" s="4"/>
      <c r="C14" s="1"/>
      <c r="F14" s="7"/>
    </row>
    <row r="15" spans="1:7">
      <c r="A15" s="4"/>
      <c r="C15" s="1"/>
      <c r="F15" s="7"/>
    </row>
    <row r="16" spans="1:7">
      <c r="A16" s="4"/>
      <c r="C16" s="1"/>
      <c r="F16" s="7"/>
    </row>
    <row r="17" spans="1:7">
      <c r="A17" s="4"/>
      <c r="C17" s="1"/>
      <c r="F17" s="7"/>
    </row>
    <row r="18" spans="1:7">
      <c r="A18" s="4"/>
      <c r="C18" s="1"/>
      <c r="F18" s="7"/>
      <c r="G18" s="17"/>
    </row>
    <row r="19" spans="1:7">
      <c r="A19" s="4"/>
      <c r="C19" s="1"/>
      <c r="F19" s="7"/>
    </row>
    <row r="20" spans="1:7">
      <c r="A20" s="4"/>
      <c r="C20" s="1"/>
      <c r="F20" s="7"/>
    </row>
    <row r="21" spans="1:7">
      <c r="A21" s="4"/>
      <c r="C21" s="1"/>
      <c r="F21" s="7"/>
    </row>
    <row r="22" spans="1:7">
      <c r="A22" s="4"/>
      <c r="C22" s="1"/>
      <c r="F22" s="7"/>
    </row>
    <row r="23" spans="1:7">
      <c r="A23" s="4"/>
      <c r="C23" s="1"/>
      <c r="F23" s="7"/>
    </row>
    <row r="24" spans="1:7">
      <c r="A24" s="4"/>
      <c r="C24" s="1"/>
      <c r="F24" s="7"/>
    </row>
    <row r="25" spans="1:7">
      <c r="A25" s="4"/>
      <c r="C25" s="1"/>
      <c r="F25" s="7"/>
    </row>
    <row r="26" spans="1:7">
      <c r="A26" s="4"/>
      <c r="C26" s="1"/>
      <c r="F26" s="7"/>
    </row>
    <row r="27" spans="1:7">
      <c r="A27" s="4"/>
      <c r="C27" s="1"/>
      <c r="F27" s="7"/>
    </row>
    <row r="28" spans="1:7">
      <c r="A28" s="4"/>
      <c r="C28" s="1"/>
      <c r="F28" s="7"/>
    </row>
    <row r="29" spans="1:7">
      <c r="A29" s="4"/>
      <c r="C29" s="1"/>
      <c r="F29" s="7"/>
    </row>
    <row r="30" spans="1:7">
      <c r="A30" s="4"/>
      <c r="C30" s="1"/>
      <c r="F30" s="7"/>
    </row>
    <row r="31" spans="1:7">
      <c r="A31" s="4"/>
      <c r="C31" s="1"/>
      <c r="F31" s="7"/>
    </row>
    <row r="32" spans="1:7">
      <c r="A32" s="4"/>
      <c r="C32" s="1"/>
      <c r="F32" s="7"/>
    </row>
    <row r="33" spans="1:7">
      <c r="A33" s="4"/>
      <c r="C33" s="1"/>
      <c r="F33" s="7"/>
    </row>
    <row r="34" spans="1:7">
      <c r="A34" s="4"/>
      <c r="C34" s="1"/>
      <c r="F34" s="7"/>
    </row>
    <row r="35" spans="1:7">
      <c r="A35" s="4"/>
      <c r="C35" s="1"/>
      <c r="F35" s="7"/>
    </row>
    <row r="36" spans="1:7">
      <c r="A36" s="4"/>
      <c r="C36" s="1"/>
      <c r="F36" s="7"/>
    </row>
    <row r="37" spans="1:7">
      <c r="A37" s="4"/>
      <c r="C37" s="1"/>
      <c r="F37" s="7"/>
      <c r="G37" s="7"/>
    </row>
  </sheetData>
  <autoFilter xmlns:etc="http://www.wps.cn/officeDocument/2017/etCustomData" ref="A1:G38" etc:filterBottomFollowUsedRange="0">
    <extLst/>
  </autoFilter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D24" sqref="D24"/>
    </sheetView>
  </sheetViews>
  <sheetFormatPr defaultColWidth="9.16071428571429" defaultRowHeight="17.6" outlineLevelCol="6"/>
  <cols>
    <col min="1" max="1" width="36" style="1" customWidth="1"/>
    <col min="2" max="2" width="30.5" customWidth="1"/>
    <col min="3" max="3" width="12" customWidth="1"/>
    <col min="4" max="4" width="14.6607142857143" style="2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7" t="s">
        <v>961</v>
      </c>
      <c r="B2" t="s">
        <v>962</v>
      </c>
      <c r="C2" s="4">
        <v>45691</v>
      </c>
      <c r="D2" s="2">
        <v>388800</v>
      </c>
      <c r="E2" t="s">
        <v>963</v>
      </c>
      <c r="F2" s="1" t="s">
        <v>8</v>
      </c>
      <c r="G2" s="8">
        <v>78</v>
      </c>
    </row>
    <row r="3" spans="1:7">
      <c r="A3" s="7" t="s">
        <v>961</v>
      </c>
      <c r="B3" t="s">
        <v>964</v>
      </c>
      <c r="C3" s="4">
        <v>45693</v>
      </c>
      <c r="D3" s="2">
        <v>280800</v>
      </c>
      <c r="E3" t="s">
        <v>963</v>
      </c>
      <c r="F3" s="1" t="s">
        <v>8</v>
      </c>
      <c r="G3" s="8">
        <v>82</v>
      </c>
    </row>
    <row r="4" spans="1:7">
      <c r="A4" s="7" t="s">
        <v>965</v>
      </c>
      <c r="B4" t="s">
        <v>966</v>
      </c>
      <c r="C4" s="4">
        <v>45636</v>
      </c>
      <c r="D4" s="2">
        <v>990180</v>
      </c>
      <c r="E4" t="s">
        <v>967</v>
      </c>
      <c r="F4" s="1" t="s">
        <v>8</v>
      </c>
      <c r="G4" s="8">
        <v>168</v>
      </c>
    </row>
    <row r="5" spans="1:7">
      <c r="A5" s="7" t="s">
        <v>330</v>
      </c>
      <c r="B5" t="s">
        <v>968</v>
      </c>
      <c r="C5" s="4">
        <v>45645</v>
      </c>
      <c r="D5" s="2">
        <v>198620</v>
      </c>
      <c r="E5" t="s">
        <v>963</v>
      </c>
      <c r="F5" s="1" t="s">
        <v>8</v>
      </c>
      <c r="G5" s="8">
        <v>179</v>
      </c>
    </row>
    <row r="6" spans="1:7">
      <c r="A6" s="7" t="s">
        <v>330</v>
      </c>
      <c r="B6" t="s">
        <v>969</v>
      </c>
      <c r="C6" s="4">
        <v>45692</v>
      </c>
      <c r="D6" s="2">
        <v>91260</v>
      </c>
      <c r="E6" t="s">
        <v>963</v>
      </c>
      <c r="F6" s="1" t="s">
        <v>8</v>
      </c>
      <c r="G6" s="8">
        <v>80</v>
      </c>
    </row>
    <row r="7" spans="1:7">
      <c r="A7" s="7" t="s">
        <v>970</v>
      </c>
      <c r="B7" t="s">
        <v>971</v>
      </c>
      <c r="C7" s="4">
        <v>45722</v>
      </c>
      <c r="D7" s="2">
        <v>207000</v>
      </c>
      <c r="E7" t="s">
        <v>963</v>
      </c>
      <c r="F7" s="1" t="s">
        <v>8</v>
      </c>
      <c r="G7" s="8">
        <v>188</v>
      </c>
    </row>
    <row r="8" spans="1:7">
      <c r="A8" s="1" t="s">
        <v>972</v>
      </c>
      <c r="B8" t="s">
        <v>601</v>
      </c>
      <c r="C8" s="4">
        <v>45741</v>
      </c>
      <c r="D8" s="2">
        <v>112600</v>
      </c>
      <c r="E8" t="s">
        <v>967</v>
      </c>
      <c r="F8" s="1" t="s">
        <v>8</v>
      </c>
    </row>
    <row r="9" spans="1:7">
      <c r="A9" s="7" t="s">
        <v>961</v>
      </c>
      <c r="B9" t="s">
        <v>973</v>
      </c>
      <c r="C9" s="4">
        <v>45757</v>
      </c>
      <c r="D9" s="2">
        <v>72556</v>
      </c>
      <c r="E9" t="s">
        <v>974</v>
      </c>
      <c r="F9" s="1" t="s">
        <v>8</v>
      </c>
      <c r="G9" s="8" t="s">
        <v>975</v>
      </c>
    </row>
    <row r="10" spans="1:7">
      <c r="A10" s="7" t="s">
        <v>961</v>
      </c>
      <c r="B10" t="s">
        <v>976</v>
      </c>
      <c r="C10" s="4">
        <v>45791</v>
      </c>
      <c r="D10" s="2">
        <v>140400</v>
      </c>
      <c r="E10" t="s">
        <v>963</v>
      </c>
      <c r="F10" s="1" t="s">
        <v>8</v>
      </c>
    </row>
    <row r="11" spans="1:7">
      <c r="A11" s="7" t="s">
        <v>961</v>
      </c>
      <c r="B11" t="s">
        <v>977</v>
      </c>
      <c r="C11" s="4">
        <v>45791</v>
      </c>
      <c r="D11" s="2">
        <v>216000</v>
      </c>
      <c r="E11" t="s">
        <v>963</v>
      </c>
      <c r="F11" s="1" t="s">
        <v>8</v>
      </c>
      <c r="G11" s="8" t="s">
        <v>978</v>
      </c>
    </row>
    <row r="12" spans="1:7">
      <c r="A12" s="7" t="s">
        <v>961</v>
      </c>
      <c r="B12" t="s">
        <v>979</v>
      </c>
      <c r="C12" s="4">
        <v>45807</v>
      </c>
      <c r="D12" s="2">
        <v>347400</v>
      </c>
      <c r="E12" t="s">
        <v>963</v>
      </c>
      <c r="F12" s="1" t="s">
        <v>8</v>
      </c>
      <c r="G12" s="8" t="s">
        <v>980</v>
      </c>
    </row>
    <row r="13" spans="1:7">
      <c r="A13" s="7" t="s">
        <v>330</v>
      </c>
      <c r="B13" t="s">
        <v>981</v>
      </c>
      <c r="C13" s="4">
        <v>45791</v>
      </c>
      <c r="D13" s="2">
        <v>136253</v>
      </c>
      <c r="E13" t="s">
        <v>963</v>
      </c>
      <c r="F13" s="1" t="s">
        <v>8</v>
      </c>
      <c r="G13" s="8" t="s">
        <v>982</v>
      </c>
    </row>
    <row r="14" spans="1:7">
      <c r="A14" s="1" t="s">
        <v>983</v>
      </c>
      <c r="B14" t="s">
        <v>984</v>
      </c>
      <c r="C14" s="4">
        <v>45791</v>
      </c>
      <c r="D14" s="2">
        <v>1809144</v>
      </c>
      <c r="E14" t="s">
        <v>967</v>
      </c>
      <c r="F14" s="1" t="s">
        <v>8</v>
      </c>
    </row>
    <row r="15" spans="1:7">
      <c r="A15" s="1" t="s">
        <v>985</v>
      </c>
      <c r="B15" t="s">
        <v>986</v>
      </c>
      <c r="C15" s="4">
        <v>45825</v>
      </c>
      <c r="D15" s="2">
        <v>140400</v>
      </c>
      <c r="E15" t="s">
        <v>963</v>
      </c>
    </row>
    <row r="16" spans="1:7">
      <c r="A16" s="1" t="s">
        <v>985</v>
      </c>
      <c r="B16" t="s">
        <v>987</v>
      </c>
      <c r="C16" s="4">
        <v>45825</v>
      </c>
      <c r="D16" s="2">
        <v>1555200</v>
      </c>
      <c r="E16" t="s">
        <v>963</v>
      </c>
    </row>
    <row r="17" spans="1:5">
      <c r="A17" s="1" t="s">
        <v>985</v>
      </c>
      <c r="B17" t="s">
        <v>988</v>
      </c>
      <c r="C17" s="4">
        <v>45833</v>
      </c>
      <c r="D17" s="2">
        <v>234000</v>
      </c>
      <c r="E17" t="s">
        <v>963</v>
      </c>
    </row>
    <row r="18" spans="1:5">
      <c r="A18" s="1" t="s">
        <v>985</v>
      </c>
      <c r="B18" t="s">
        <v>989</v>
      </c>
      <c r="C18" s="4">
        <v>45855</v>
      </c>
      <c r="D18" s="2">
        <v>1000080</v>
      </c>
      <c r="E18" t="s">
        <v>963</v>
      </c>
    </row>
    <row r="19" spans="1:5">
      <c r="A19" s="1" t="s">
        <v>985</v>
      </c>
      <c r="B19" t="s">
        <v>989</v>
      </c>
      <c r="C19" s="4">
        <v>45899</v>
      </c>
      <c r="D19" s="2">
        <v>388800</v>
      </c>
      <c r="E19" t="s">
        <v>963</v>
      </c>
    </row>
    <row r="20" spans="1:5">
      <c r="A20" s="1" t="s">
        <v>985</v>
      </c>
      <c r="B20" t="s">
        <v>989</v>
      </c>
      <c r="C20" s="4">
        <v>45899</v>
      </c>
      <c r="D20" s="2">
        <v>38000</v>
      </c>
      <c r="E20" t="s">
        <v>963</v>
      </c>
    </row>
    <row r="21" spans="1:5">
      <c r="A21" s="1" t="s">
        <v>985</v>
      </c>
      <c r="B21" s="2" t="s">
        <v>989</v>
      </c>
      <c r="C21" s="4">
        <v>45975</v>
      </c>
      <c r="D21" s="2">
        <v>786306.8</v>
      </c>
      <c r="E21" t="s">
        <v>963</v>
      </c>
    </row>
    <row r="23" spans="1:5">
      <c r="C23" s="11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F18" sqref="F18"/>
    </sheetView>
  </sheetViews>
  <sheetFormatPr defaultColWidth="9.16071428571429" defaultRowHeight="17.6" outlineLevelCol="6"/>
  <cols>
    <col min="1" max="1" width="36" style="1" customWidth="1"/>
    <col min="2" max="2" width="30.5" customWidth="1"/>
    <col min="3" max="3" width="12" customWidth="1"/>
    <col min="4" max="4" width="14.6607142857143" style="2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7" t="s">
        <v>990</v>
      </c>
      <c r="B2" t="s">
        <v>991</v>
      </c>
      <c r="C2" s="4">
        <v>45849</v>
      </c>
      <c r="D2" s="2">
        <v>898513.55</v>
      </c>
      <c r="E2" t="s">
        <v>963</v>
      </c>
      <c r="F2" s="1" t="s">
        <v>8</v>
      </c>
    </row>
    <row r="3" spans="1:7">
      <c r="A3" s="7" t="s">
        <v>990</v>
      </c>
      <c r="B3" t="s">
        <v>991</v>
      </c>
      <c r="C3" s="4">
        <v>45849</v>
      </c>
      <c r="D3" s="2">
        <v>2422080</v>
      </c>
      <c r="E3" t="s">
        <v>963</v>
      </c>
    </row>
    <row r="4" spans="1:7">
      <c r="A4" s="7" t="s">
        <v>990</v>
      </c>
      <c r="B4" t="s">
        <v>991</v>
      </c>
      <c r="C4" s="4">
        <v>45899</v>
      </c>
      <c r="D4" s="2">
        <v>1211040</v>
      </c>
      <c r="E4" t="s">
        <v>963</v>
      </c>
    </row>
    <row r="5" spans="1:7">
      <c r="A5" s="7" t="s">
        <v>990</v>
      </c>
      <c r="B5" t="s">
        <v>991</v>
      </c>
      <c r="C5" s="4">
        <v>45899</v>
      </c>
      <c r="D5" s="2">
        <v>1211040</v>
      </c>
      <c r="E5" t="s">
        <v>963</v>
      </c>
    </row>
    <row r="6" spans="1:7">
      <c r="A6" s="4" t="s">
        <v>990</v>
      </c>
      <c r="B6" s="2" t="s">
        <v>992</v>
      </c>
      <c r="C6" s="4">
        <v>45929</v>
      </c>
      <c r="D6" s="2">
        <v>1211040</v>
      </c>
      <c r="E6" t="s">
        <v>963</v>
      </c>
    </row>
    <row r="7" spans="1:7">
      <c r="A7" s="7" t="s">
        <v>990</v>
      </c>
      <c r="B7" t="s">
        <v>993</v>
      </c>
      <c r="C7" s="4">
        <v>45989</v>
      </c>
      <c r="D7" s="2">
        <v>1211040</v>
      </c>
      <c r="E7" t="s">
        <v>963</v>
      </c>
    </row>
    <row r="8" spans="1:7">
      <c r="A8" s="14" t="s">
        <v>990</v>
      </c>
      <c r="B8" s="14" t="s">
        <v>994</v>
      </c>
      <c r="C8" s="15">
        <v>45992</v>
      </c>
      <c r="D8" s="16">
        <v>1211040</v>
      </c>
      <c r="E8" t="s">
        <v>963</v>
      </c>
    </row>
    <row r="9" spans="1:7">
      <c r="A9" s="7" t="s">
        <v>990</v>
      </c>
      <c r="B9" t="s">
        <v>995</v>
      </c>
      <c r="C9" s="4">
        <v>46017</v>
      </c>
      <c r="D9" s="2">
        <v>45615.57</v>
      </c>
      <c r="E9" t="s">
        <v>996</v>
      </c>
    </row>
    <row r="10" spans="1:7">
      <c r="A10" s="7"/>
      <c r="C10" s="4"/>
    </row>
    <row r="11" spans="1:7">
      <c r="A11" s="7"/>
      <c r="C11" s="4"/>
    </row>
    <row r="12" spans="1:7">
      <c r="A12" s="7"/>
      <c r="C12" s="4"/>
    </row>
    <row r="13" spans="1:7">
      <c r="A13" s="7"/>
      <c r="C13" s="4"/>
    </row>
    <row r="14" spans="1:7">
      <c r="C14" s="4"/>
    </row>
    <row r="15" spans="1:7">
      <c r="C15" s="4"/>
    </row>
    <row r="16" spans="1:7">
      <c r="C16" s="4"/>
    </row>
    <row r="17" spans="3:3">
      <c r="C17" s="4"/>
    </row>
    <row r="18" spans="3:3">
      <c r="C18" s="4"/>
    </row>
    <row r="20" spans="3:3">
      <c r="C20" s="11"/>
    </row>
    <row r="23" spans="3:3">
      <c r="C23" s="11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E16" sqref="E16:E18"/>
    </sheetView>
  </sheetViews>
  <sheetFormatPr defaultColWidth="9.16071428571429" defaultRowHeight="17.6" outlineLevelCol="6"/>
  <cols>
    <col min="1" max="1" width="47.2857142857143" style="1" customWidth="1"/>
    <col min="2" max="2" width="24.5" customWidth="1"/>
    <col min="3" max="3" width="12" customWidth="1"/>
    <col min="4" max="4" width="14.6607142857143" style="2" customWidth="1"/>
    <col min="5" max="5" width="47.3303571428571" customWidth="1"/>
    <col min="6" max="6" width="11.6607142857143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8" t="s">
        <v>6</v>
      </c>
    </row>
    <row r="2" spans="1:7">
      <c r="A2" s="7" t="s">
        <v>997</v>
      </c>
      <c r="B2" t="s">
        <v>998</v>
      </c>
      <c r="C2" s="4">
        <v>45751</v>
      </c>
      <c r="D2" s="2">
        <v>5334</v>
      </c>
      <c r="E2" s="7" t="s">
        <v>997</v>
      </c>
      <c r="F2" s="1" t="s">
        <v>8</v>
      </c>
      <c r="G2" s="8" t="s">
        <v>999</v>
      </c>
    </row>
    <row r="3" spans="1:7">
      <c r="A3" s="13" t="s">
        <v>1000</v>
      </c>
      <c r="B3" t="s">
        <v>1001</v>
      </c>
      <c r="C3" s="4">
        <v>45775</v>
      </c>
      <c r="D3" s="2">
        <v>6500</v>
      </c>
      <c r="E3" s="4" t="s">
        <v>1000</v>
      </c>
      <c r="F3" s="1" t="s">
        <v>8</v>
      </c>
      <c r="G3" s="1" t="s">
        <v>1002</v>
      </c>
    </row>
    <row r="4" spans="1:7">
      <c r="A4" s="13" t="s">
        <v>1003</v>
      </c>
      <c r="B4" t="s">
        <v>1004</v>
      </c>
      <c r="C4" s="4">
        <v>45775</v>
      </c>
      <c r="D4" s="2">
        <v>500000</v>
      </c>
      <c r="E4" s="4" t="s">
        <v>1003</v>
      </c>
      <c r="F4" s="1" t="s">
        <v>8</v>
      </c>
      <c r="G4" s="1" t="s">
        <v>1005</v>
      </c>
    </row>
    <row r="5" spans="1:7">
      <c r="A5" s="13" t="s">
        <v>1003</v>
      </c>
      <c r="B5" t="s">
        <v>1004</v>
      </c>
      <c r="C5" s="4">
        <v>45791</v>
      </c>
      <c r="D5" s="2">
        <v>2200000</v>
      </c>
      <c r="E5" s="4" t="s">
        <v>1003</v>
      </c>
      <c r="F5" s="1" t="s">
        <v>8</v>
      </c>
      <c r="G5">
        <v>553</v>
      </c>
    </row>
    <row r="6" spans="1:7">
      <c r="A6" s="1" t="s">
        <v>1006</v>
      </c>
      <c r="B6" t="s">
        <v>1007</v>
      </c>
      <c r="C6" s="4">
        <v>45835</v>
      </c>
      <c r="D6" s="2">
        <v>20097</v>
      </c>
      <c r="E6" t="s">
        <v>1006</v>
      </c>
    </row>
    <row r="7" spans="1:7">
      <c r="A7" s="1" t="s">
        <v>1006</v>
      </c>
      <c r="B7" t="s">
        <v>1008</v>
      </c>
      <c r="C7" s="4">
        <v>45831</v>
      </c>
      <c r="D7" s="2">
        <v>7022.4</v>
      </c>
      <c r="E7" s="4" t="s">
        <v>1006</v>
      </c>
    </row>
    <row r="8" spans="1:7">
      <c r="A8" s="1" t="s">
        <v>1006</v>
      </c>
      <c r="B8" t="s">
        <v>1008</v>
      </c>
      <c r="C8" s="4">
        <v>45831</v>
      </c>
      <c r="D8" s="2">
        <v>7022.4</v>
      </c>
      <c r="E8" s="4" t="s">
        <v>1006</v>
      </c>
    </row>
    <row r="9" spans="1:7">
      <c r="A9" s="13" t="s">
        <v>1006</v>
      </c>
      <c r="B9" t="s">
        <v>1009</v>
      </c>
      <c r="C9" s="4">
        <v>45828</v>
      </c>
      <c r="D9" s="2">
        <v>356298.6</v>
      </c>
      <c r="E9" s="4" t="s">
        <v>1006</v>
      </c>
    </row>
    <row r="10" spans="1:7">
      <c r="A10" s="13" t="s">
        <v>1006</v>
      </c>
      <c r="B10" t="s">
        <v>1010</v>
      </c>
      <c r="C10" s="4">
        <v>45828</v>
      </c>
      <c r="D10" s="2">
        <v>365057.7</v>
      </c>
      <c r="E10" s="4" t="s">
        <v>1006</v>
      </c>
    </row>
    <row r="11" spans="1:7">
      <c r="A11" s="1" t="s">
        <v>1011</v>
      </c>
      <c r="B11" t="s">
        <v>1012</v>
      </c>
      <c r="C11" s="4">
        <v>45903</v>
      </c>
      <c r="D11" s="2">
        <v>25000</v>
      </c>
      <c r="E11" s="1" t="s">
        <v>1011</v>
      </c>
    </row>
    <row r="12" spans="1:7">
      <c r="A12" s="1" t="s">
        <v>1013</v>
      </c>
      <c r="B12" t="s">
        <v>1014</v>
      </c>
      <c r="C12" s="4">
        <v>45908</v>
      </c>
      <c r="D12" s="2">
        <v>500</v>
      </c>
      <c r="E12" s="1" t="s">
        <v>1013</v>
      </c>
    </row>
    <row r="13" spans="1:7">
      <c r="A13" s="1" t="s">
        <v>1006</v>
      </c>
      <c r="B13" t="s">
        <v>1015</v>
      </c>
      <c r="C13" s="4">
        <v>45912</v>
      </c>
      <c r="D13" s="2">
        <v>4377.03</v>
      </c>
      <c r="E13" s="1" t="s">
        <v>1006</v>
      </c>
    </row>
    <row r="14" spans="1:7">
      <c r="A14" s="1" t="s">
        <v>1016</v>
      </c>
      <c r="B14" t="s">
        <v>1017</v>
      </c>
      <c r="C14" s="4">
        <v>45937</v>
      </c>
      <c r="D14" s="2">
        <v>1052126.85</v>
      </c>
      <c r="E14" s="1" t="s">
        <v>1016</v>
      </c>
    </row>
    <row r="15" spans="1:7">
      <c r="A15" s="1" t="s">
        <v>1018</v>
      </c>
      <c r="B15" t="s">
        <v>1019</v>
      </c>
      <c r="C15" s="4">
        <v>45958</v>
      </c>
      <c r="D15" s="2">
        <v>142353.66</v>
      </c>
      <c r="E15" s="1" t="s">
        <v>1018</v>
      </c>
    </row>
    <row r="16" spans="1:7">
      <c r="A16" s="1" t="s">
        <v>1003</v>
      </c>
      <c r="B16" t="s">
        <v>1020</v>
      </c>
      <c r="C16" s="4">
        <v>46010</v>
      </c>
      <c r="D16" s="2">
        <v>380000</v>
      </c>
      <c r="E16" s="1" t="s">
        <v>1003</v>
      </c>
    </row>
    <row r="17" spans="1:5">
      <c r="A17" s="1" t="s">
        <v>1006</v>
      </c>
      <c r="B17" t="s">
        <v>1010</v>
      </c>
      <c r="C17" s="4">
        <v>46016</v>
      </c>
      <c r="D17" s="2">
        <v>25069.38</v>
      </c>
      <c r="E17" s="1" t="s">
        <v>1006</v>
      </c>
    </row>
    <row r="18" spans="1:5">
      <c r="A18" s="1" t="s">
        <v>1006</v>
      </c>
      <c r="B18" t="s">
        <v>1010</v>
      </c>
      <c r="C18" s="4">
        <v>46016</v>
      </c>
      <c r="D18" s="2">
        <v>48798.96</v>
      </c>
      <c r="E18" s="1" t="s">
        <v>1006</v>
      </c>
    </row>
    <row r="19" spans="1:5">
      <c r="C19" s="4"/>
      <c r="E19" s="4"/>
    </row>
    <row r="20" spans="1:5">
      <c r="C20" s="4"/>
      <c r="E20" s="4"/>
    </row>
    <row r="21" spans="1:5">
      <c r="C21" s="4"/>
      <c r="E21" s="4"/>
    </row>
    <row r="22" spans="1:5">
      <c r="C22" s="4"/>
      <c r="E22" s="4"/>
    </row>
    <row r="23" spans="1:5">
      <c r="C23" s="4"/>
      <c r="E23" s="4"/>
    </row>
    <row r="24" spans="1:5">
      <c r="C24" s="4"/>
      <c r="E24" s="4"/>
    </row>
    <row r="25" spans="1:5">
      <c r="C25" s="4"/>
      <c r="E25" s="4"/>
    </row>
    <row r="26" spans="1:5">
      <c r="C26" s="4"/>
      <c r="E26" s="4"/>
    </row>
    <row r="27" spans="1:5">
      <c r="C27" s="4"/>
      <c r="E27" s="4"/>
    </row>
    <row r="28" spans="1:5">
      <c r="C28" s="4"/>
      <c r="E28" s="4"/>
    </row>
    <row r="29" spans="1:5">
      <c r="C29" s="4"/>
      <c r="E29" s="4"/>
    </row>
    <row r="30" spans="1:5">
      <c r="C30" s="4"/>
      <c r="E30" s="4"/>
    </row>
    <row r="31" spans="1:5">
      <c r="C31" s="4"/>
      <c r="E31" s="4"/>
    </row>
    <row r="32" spans="1:5">
      <c r="C32" s="4"/>
      <c r="E32" s="4"/>
    </row>
    <row r="33" spans="3:5">
      <c r="C33" s="4"/>
      <c r="E33" s="4"/>
    </row>
    <row r="34" spans="3:5">
      <c r="C34" s="4"/>
      <c r="E34" s="4"/>
    </row>
    <row r="35" spans="3:5">
      <c r="C35" s="4"/>
      <c r="E35" s="4"/>
    </row>
    <row r="36" spans="3:5">
      <c r="C36" s="4"/>
      <c r="E36" s="4"/>
    </row>
    <row r="37" spans="3:5">
      <c r="C37" s="4"/>
      <c r="E37" s="4"/>
    </row>
    <row r="38" spans="3:5">
      <c r="C38" s="4"/>
      <c r="E38" s="4"/>
    </row>
    <row r="39" spans="3:5">
      <c r="C39" s="4"/>
      <c r="E39" s="4"/>
    </row>
    <row r="40" spans="3:5">
      <c r="C40" s="4"/>
      <c r="E40" s="4"/>
    </row>
    <row r="41" spans="3:5">
      <c r="C41" s="4"/>
      <c r="E41" s="4"/>
    </row>
    <row r="42" spans="3:5">
      <c r="C42" s="4"/>
      <c r="E42" s="4"/>
    </row>
    <row r="43" spans="3:5">
      <c r="C43" s="4"/>
      <c r="E43" s="4"/>
    </row>
    <row r="44" spans="3:5">
      <c r="C44" s="4"/>
      <c r="E44" s="4"/>
    </row>
    <row r="45" spans="3:5">
      <c r="C45" s="4"/>
      <c r="E45" s="4"/>
    </row>
    <row r="46" spans="3:5">
      <c r="C46" s="4"/>
      <c r="E46" s="4"/>
    </row>
    <row r="47" spans="3:5">
      <c r="C47" s="4"/>
      <c r="E47" s="4"/>
    </row>
    <row r="48" spans="3:5">
      <c r="C48" s="4"/>
      <c r="E48" s="4"/>
    </row>
    <row r="49" spans="3:5">
      <c r="C49" s="4"/>
      <c r="E49" s="4"/>
    </row>
    <row r="50" spans="3:5">
      <c r="C50" s="4"/>
      <c r="E50" s="4"/>
    </row>
    <row r="51" spans="3:5">
      <c r="C51" s="4"/>
      <c r="E51" s="4"/>
    </row>
    <row r="52" spans="3:5">
      <c r="C52" s="4"/>
      <c r="E52" s="4"/>
    </row>
    <row r="53" spans="3:5">
      <c r="C53" s="4"/>
      <c r="E53" s="4"/>
    </row>
    <row r="54" spans="3:5">
      <c r="C54" s="4"/>
      <c r="E54" s="4"/>
    </row>
    <row r="55" spans="3:5">
      <c r="C55" s="4"/>
      <c r="E55" s="4"/>
    </row>
    <row r="56" spans="3:5">
      <c r="C56" s="4"/>
      <c r="E56" s="4"/>
    </row>
    <row r="57" spans="3:5">
      <c r="C57" s="4"/>
      <c r="E57" s="4"/>
    </row>
    <row r="58" spans="3:5">
      <c r="C58" s="4"/>
      <c r="E58" s="4"/>
    </row>
    <row r="59" spans="3:5">
      <c r="C59" s="4"/>
      <c r="E59" s="4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opLeftCell="B33" workbookViewId="0">
      <selection activeCell="E55" sqref="E55"/>
    </sheetView>
  </sheetViews>
  <sheetFormatPr defaultColWidth="9.16071428571429" defaultRowHeight="17.6" outlineLevelCol="6"/>
  <cols>
    <col min="1" max="1" width="40.8303571428571" style="1" customWidth="1"/>
    <col min="2" max="2" width="31.8482142857143" style="7" customWidth="1"/>
    <col min="3" max="3" width="12" customWidth="1"/>
    <col min="4" max="4" width="14.6607142857143" style="2" customWidth="1"/>
    <col min="5" max="5" width="32.4196428571429" style="7" customWidth="1"/>
    <col min="6" max="6" width="8.5" style="1" customWidth="1"/>
    <col min="7" max="7" width="8.5" style="8" customWidth="1"/>
    <col min="9" max="9" width="11.3303571428571" customWidth="1"/>
  </cols>
  <sheetData>
    <row r="1" s="1" customFormat="1" ht="18" spans="1:7">
      <c r="A1" s="1" t="s">
        <v>235</v>
      </c>
      <c r="B1" s="7" t="s">
        <v>683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ht="18" spans="1:7">
      <c r="A2" s="7" t="s">
        <v>1021</v>
      </c>
      <c r="B2" s="7" t="s">
        <v>1022</v>
      </c>
      <c r="C2" s="4">
        <v>45712</v>
      </c>
      <c r="D2" s="2">
        <v>376260</v>
      </c>
      <c r="E2" s="7" t="s">
        <v>1023</v>
      </c>
      <c r="F2" s="1" t="s">
        <v>8</v>
      </c>
    </row>
    <row r="3" ht="18" spans="1:7">
      <c r="A3" s="7" t="s">
        <v>519</v>
      </c>
      <c r="B3" s="7" t="s">
        <v>1024</v>
      </c>
      <c r="C3" s="4">
        <v>45694</v>
      </c>
      <c r="D3" s="2">
        <v>27774</v>
      </c>
      <c r="E3" s="7" t="s">
        <v>1025</v>
      </c>
      <c r="F3" s="1" t="s">
        <v>8</v>
      </c>
    </row>
    <row r="4" ht="18" spans="1:7">
      <c r="A4" s="7" t="s">
        <v>519</v>
      </c>
      <c r="B4" s="7" t="s">
        <v>1026</v>
      </c>
      <c r="C4" s="4">
        <v>45694</v>
      </c>
      <c r="D4" s="2">
        <v>14875</v>
      </c>
      <c r="E4" s="7" t="s">
        <v>1027</v>
      </c>
      <c r="F4" s="1" t="s">
        <v>8</v>
      </c>
    </row>
    <row r="5" ht="18" spans="1:7">
      <c r="A5" s="7" t="s">
        <v>519</v>
      </c>
      <c r="B5" s="7" t="s">
        <v>1028</v>
      </c>
      <c r="C5" s="4">
        <v>45694</v>
      </c>
      <c r="D5" s="2">
        <v>42000</v>
      </c>
      <c r="E5" s="7" t="s">
        <v>1029</v>
      </c>
      <c r="F5" s="1" t="s">
        <v>8</v>
      </c>
    </row>
    <row r="6" ht="18" spans="1:7">
      <c r="A6" s="7" t="s">
        <v>1021</v>
      </c>
      <c r="B6" s="1" t="s">
        <v>1030</v>
      </c>
      <c r="C6" s="4">
        <v>45678</v>
      </c>
      <c r="D6" s="2">
        <v>175776</v>
      </c>
      <c r="E6" s="7" t="s">
        <v>1023</v>
      </c>
      <c r="F6" s="1" t="s">
        <v>8</v>
      </c>
    </row>
    <row r="7" ht="18" spans="1:7">
      <c r="A7" s="7" t="s">
        <v>1021</v>
      </c>
      <c r="B7" s="7" t="s">
        <v>1031</v>
      </c>
      <c r="C7" s="4">
        <v>45684</v>
      </c>
      <c r="D7" s="2">
        <v>48368</v>
      </c>
      <c r="E7" s="7" t="s">
        <v>1032</v>
      </c>
      <c r="F7" s="1" t="s">
        <v>8</v>
      </c>
    </row>
    <row r="8" ht="18" spans="1:7">
      <c r="A8" s="7" t="s">
        <v>1021</v>
      </c>
      <c r="B8" s="7" t="s">
        <v>1024</v>
      </c>
      <c r="C8" s="4">
        <v>45639</v>
      </c>
      <c r="D8" s="2">
        <v>127497</v>
      </c>
      <c r="E8" s="7" t="s">
        <v>1023</v>
      </c>
      <c r="F8" s="1" t="s">
        <v>8</v>
      </c>
    </row>
    <row r="9" ht="18" spans="1:7">
      <c r="A9" s="7" t="s">
        <v>1021</v>
      </c>
      <c r="B9" s="7" t="s">
        <v>1033</v>
      </c>
      <c r="C9" s="4">
        <v>45639</v>
      </c>
      <c r="D9" s="2">
        <v>49500</v>
      </c>
      <c r="E9" s="7" t="s">
        <v>1034</v>
      </c>
      <c r="F9" s="1" t="s">
        <v>8</v>
      </c>
    </row>
    <row r="10" ht="18" spans="1:7">
      <c r="A10" s="7" t="s">
        <v>1035</v>
      </c>
      <c r="B10" s="7" t="s">
        <v>1036</v>
      </c>
      <c r="C10" s="4">
        <v>45715</v>
      </c>
      <c r="D10" s="2">
        <v>140605</v>
      </c>
      <c r="E10" s="7" t="s">
        <v>1037</v>
      </c>
      <c r="F10" s="1" t="s">
        <v>8</v>
      </c>
    </row>
    <row r="11" ht="18" spans="1:7">
      <c r="A11" s="7" t="s">
        <v>1038</v>
      </c>
      <c r="B11" s="7" t="s">
        <v>1033</v>
      </c>
      <c r="C11" s="4">
        <v>45681</v>
      </c>
      <c r="D11" s="2">
        <v>102095.68</v>
      </c>
      <c r="E11" s="7" t="s">
        <v>1039</v>
      </c>
      <c r="F11" s="1" t="s">
        <v>8</v>
      </c>
    </row>
    <row r="12" ht="18" spans="1:7">
      <c r="A12" s="7" t="s">
        <v>1038</v>
      </c>
      <c r="B12" s="7" t="s">
        <v>1033</v>
      </c>
      <c r="C12" s="4">
        <v>45681</v>
      </c>
      <c r="D12" s="2">
        <v>237749.18</v>
      </c>
      <c r="E12" s="7" t="s">
        <v>1034</v>
      </c>
      <c r="F12" s="1" t="s">
        <v>8</v>
      </c>
    </row>
    <row r="13" ht="18" spans="1:7">
      <c r="A13" s="7" t="s">
        <v>1038</v>
      </c>
      <c r="B13" s="7" t="s">
        <v>1040</v>
      </c>
      <c r="C13" s="4">
        <v>45681</v>
      </c>
      <c r="D13" s="2">
        <v>146256.42</v>
      </c>
      <c r="E13" s="7" t="s">
        <v>1041</v>
      </c>
      <c r="F13" s="1" t="s">
        <v>8</v>
      </c>
    </row>
    <row r="14" ht="18" spans="1:7">
      <c r="A14" s="7" t="s">
        <v>1038</v>
      </c>
      <c r="B14" s="7" t="s">
        <v>1031</v>
      </c>
      <c r="C14" s="4">
        <v>45687</v>
      </c>
      <c r="D14" s="2">
        <v>37055.72</v>
      </c>
      <c r="E14" s="7" t="s">
        <v>1042</v>
      </c>
      <c r="F14" s="1" t="s">
        <v>8</v>
      </c>
    </row>
    <row r="15" ht="18" spans="1:7">
      <c r="A15" s="7" t="s">
        <v>519</v>
      </c>
      <c r="B15" s="7" t="s">
        <v>1043</v>
      </c>
      <c r="C15" s="4">
        <v>45637</v>
      </c>
      <c r="D15" s="2">
        <f>51543+25767</f>
        <v>77310</v>
      </c>
      <c r="E15" s="7" t="s">
        <v>1041</v>
      </c>
      <c r="F15" s="1" t="s">
        <v>8</v>
      </c>
    </row>
    <row r="16" ht="18" spans="1:7">
      <c r="A16" s="7" t="s">
        <v>519</v>
      </c>
      <c r="B16" s="7" t="s">
        <v>1024</v>
      </c>
      <c r="C16" s="4">
        <v>45637</v>
      </c>
      <c r="D16" s="2">
        <v>27408</v>
      </c>
      <c r="E16" s="7" t="s">
        <v>1025</v>
      </c>
      <c r="F16" s="1" t="s">
        <v>8</v>
      </c>
    </row>
    <row r="17" ht="18" spans="1:7">
      <c r="A17" s="7" t="s">
        <v>519</v>
      </c>
      <c r="B17" s="7" t="s">
        <v>1044</v>
      </c>
      <c r="C17" s="4">
        <v>45637</v>
      </c>
      <c r="D17" s="2">
        <v>42270</v>
      </c>
      <c r="E17" s="7" t="s">
        <v>1034</v>
      </c>
      <c r="F17" s="1" t="s">
        <v>8</v>
      </c>
    </row>
    <row r="18" ht="18" spans="1:7">
      <c r="A18" s="7" t="s">
        <v>519</v>
      </c>
      <c r="B18" s="7" t="s">
        <v>1045</v>
      </c>
      <c r="C18" s="4">
        <v>45637</v>
      </c>
      <c r="D18" s="2">
        <v>34254</v>
      </c>
      <c r="E18" s="7" t="s">
        <v>1029</v>
      </c>
      <c r="F18" s="1" t="s">
        <v>8</v>
      </c>
    </row>
    <row r="19" ht="18" spans="1:7">
      <c r="A19" s="7" t="s">
        <v>1021</v>
      </c>
      <c r="B19" s="7" t="s">
        <v>1033</v>
      </c>
      <c r="C19" s="4">
        <v>45720</v>
      </c>
      <c r="D19" s="2">
        <v>37390</v>
      </c>
      <c r="E19" s="7" t="s">
        <v>1046</v>
      </c>
      <c r="F19" s="1" t="s">
        <v>8</v>
      </c>
      <c r="G19" s="8">
        <v>180</v>
      </c>
    </row>
    <row r="20" ht="18" spans="1:7">
      <c r="A20" s="7" t="s">
        <v>1021</v>
      </c>
      <c r="B20" s="7" t="s">
        <v>1033</v>
      </c>
      <c r="C20" s="4">
        <v>45720</v>
      </c>
      <c r="D20" s="2">
        <v>56460</v>
      </c>
      <c r="E20" s="7" t="s">
        <v>1047</v>
      </c>
      <c r="F20" s="1" t="s">
        <v>8</v>
      </c>
      <c r="G20" s="8">
        <v>180</v>
      </c>
    </row>
    <row r="21" ht="18" spans="1:7">
      <c r="A21" s="7" t="s">
        <v>1021</v>
      </c>
      <c r="B21" s="7" t="s">
        <v>1033</v>
      </c>
      <c r="C21" s="4">
        <v>45720</v>
      </c>
      <c r="D21" s="2">
        <v>55399</v>
      </c>
      <c r="E21" s="7" t="s">
        <v>1048</v>
      </c>
      <c r="F21" s="1" t="s">
        <v>8</v>
      </c>
      <c r="G21" s="8">
        <v>180</v>
      </c>
    </row>
    <row r="22" ht="18" spans="1:7">
      <c r="A22" s="7" t="s">
        <v>519</v>
      </c>
      <c r="B22" s="7" t="s">
        <v>1049</v>
      </c>
      <c r="C22" s="4">
        <v>45720</v>
      </c>
      <c r="D22" s="2">
        <v>6148</v>
      </c>
      <c r="E22" s="7" t="s">
        <v>1050</v>
      </c>
      <c r="F22" s="1" t="s">
        <v>8</v>
      </c>
      <c r="G22" s="8">
        <v>181</v>
      </c>
    </row>
    <row r="23" ht="18" spans="1:7">
      <c r="A23" s="7" t="s">
        <v>519</v>
      </c>
      <c r="B23" s="7" t="s">
        <v>1051</v>
      </c>
      <c r="C23" s="4">
        <v>45720</v>
      </c>
      <c r="D23" s="2">
        <v>41268</v>
      </c>
      <c r="E23" s="7" t="s">
        <v>1041</v>
      </c>
      <c r="F23" s="1" t="s">
        <v>8</v>
      </c>
      <c r="G23" s="8">
        <v>181</v>
      </c>
    </row>
    <row r="24" ht="18" spans="1:7">
      <c r="A24" s="7" t="s">
        <v>519</v>
      </c>
      <c r="B24" s="7" t="s">
        <v>1052</v>
      </c>
      <c r="C24" s="4">
        <v>45720</v>
      </c>
      <c r="D24" s="2">
        <v>64560</v>
      </c>
      <c r="E24" s="7" t="s">
        <v>1041</v>
      </c>
      <c r="F24" s="1" t="s">
        <v>8</v>
      </c>
      <c r="G24" s="8">
        <v>181</v>
      </c>
    </row>
    <row r="25" ht="18" spans="1:7">
      <c r="A25" s="7" t="s">
        <v>1038</v>
      </c>
      <c r="B25" s="1" t="s">
        <v>1053</v>
      </c>
      <c r="C25" s="4">
        <v>45722</v>
      </c>
      <c r="D25" s="2">
        <v>17004.87</v>
      </c>
      <c r="E25" s="7" t="s">
        <v>1025</v>
      </c>
      <c r="F25" s="1" t="s">
        <v>8</v>
      </c>
      <c r="G25" s="8">
        <v>175</v>
      </c>
    </row>
    <row r="26" ht="18" spans="1:7">
      <c r="A26" s="1" t="s">
        <v>218</v>
      </c>
      <c r="B26" s="7" t="s">
        <v>1054</v>
      </c>
      <c r="C26" s="4">
        <v>45825</v>
      </c>
      <c r="D26" s="2">
        <v>81998</v>
      </c>
      <c r="E26" s="7" t="s">
        <v>1034</v>
      </c>
    </row>
    <row r="27" ht="18" spans="1:7">
      <c r="A27" s="1" t="s">
        <v>218</v>
      </c>
      <c r="B27" s="7" t="s">
        <v>1055</v>
      </c>
      <c r="C27" s="4">
        <v>45825</v>
      </c>
      <c r="D27" s="2">
        <v>184999</v>
      </c>
      <c r="E27" s="7" t="s">
        <v>1023</v>
      </c>
    </row>
    <row r="28" ht="18" spans="1:7">
      <c r="A28" s="1" t="s">
        <v>218</v>
      </c>
      <c r="B28" s="7" t="s">
        <v>1055</v>
      </c>
      <c r="C28" s="4">
        <v>45825</v>
      </c>
      <c r="D28" s="2">
        <v>457352</v>
      </c>
      <c r="E28" s="7" t="s">
        <v>1034</v>
      </c>
    </row>
    <row r="29" customFormat="1" ht="18" spans="1:7">
      <c r="A29" s="7" t="s">
        <v>1056</v>
      </c>
      <c r="B29" t="s">
        <v>1057</v>
      </c>
      <c r="C29" s="4">
        <v>45832</v>
      </c>
      <c r="D29" s="2">
        <v>13802</v>
      </c>
      <c r="E29" s="7" t="s">
        <v>1058</v>
      </c>
      <c r="F29" s="1"/>
      <c r="G29" s="8"/>
    </row>
    <row r="30" ht="18" spans="1:7">
      <c r="A30" s="1" t="s">
        <v>218</v>
      </c>
      <c r="B30" s="7" t="s">
        <v>1059</v>
      </c>
      <c r="C30" s="4">
        <v>45846</v>
      </c>
      <c r="D30" s="2">
        <v>59999</v>
      </c>
      <c r="E30" s="7" t="s">
        <v>1023</v>
      </c>
    </row>
    <row r="31" spans="1:7">
      <c r="A31" s="1" t="s">
        <v>1038</v>
      </c>
      <c r="B31" s="7" t="s">
        <v>219</v>
      </c>
      <c r="C31" s="4">
        <v>45678</v>
      </c>
      <c r="D31" s="2">
        <v>20045.61</v>
      </c>
      <c r="E31" s="7" t="s">
        <v>1038</v>
      </c>
      <c r="F31" s="1" t="s">
        <v>8</v>
      </c>
      <c r="G31" s="8">
        <v>32</v>
      </c>
    </row>
    <row r="32" spans="1:7">
      <c r="A32" s="1" t="s">
        <v>1038</v>
      </c>
      <c r="B32" s="7" t="s">
        <v>219</v>
      </c>
      <c r="C32" s="4">
        <v>45681</v>
      </c>
      <c r="D32" s="2">
        <v>7027.1</v>
      </c>
      <c r="E32" s="7" t="s">
        <v>1038</v>
      </c>
      <c r="F32" s="1" t="s">
        <v>8</v>
      </c>
      <c r="G32" s="8">
        <v>40</v>
      </c>
    </row>
    <row r="33" spans="1:7">
      <c r="A33" s="1" t="s">
        <v>1038</v>
      </c>
      <c r="B33" s="7" t="s">
        <v>219</v>
      </c>
      <c r="C33" s="4">
        <v>45681</v>
      </c>
      <c r="D33" s="2">
        <v>7368.05</v>
      </c>
      <c r="E33" s="7" t="s">
        <v>1038</v>
      </c>
      <c r="F33" s="1" t="s">
        <v>8</v>
      </c>
      <c r="G33" s="8">
        <v>41</v>
      </c>
    </row>
    <row r="34" spans="1:7">
      <c r="A34" s="1" t="s">
        <v>519</v>
      </c>
      <c r="B34" s="7" t="s">
        <v>219</v>
      </c>
      <c r="C34" s="4">
        <v>45637</v>
      </c>
      <c r="D34" s="2">
        <v>27550</v>
      </c>
      <c r="E34" s="7" t="s">
        <v>519</v>
      </c>
      <c r="F34" s="1" t="s">
        <v>8</v>
      </c>
      <c r="G34" s="8">
        <v>170</v>
      </c>
    </row>
    <row r="35" spans="1:7">
      <c r="A35" s="1" t="s">
        <v>1021</v>
      </c>
      <c r="B35" s="7" t="s">
        <v>1060</v>
      </c>
      <c r="C35" s="4">
        <v>45695</v>
      </c>
      <c r="D35" s="2">
        <v>2380</v>
      </c>
      <c r="E35" s="7" t="s">
        <v>1021</v>
      </c>
      <c r="F35" s="1" t="s">
        <v>8</v>
      </c>
      <c r="G35" s="8">
        <v>87</v>
      </c>
    </row>
    <row r="36" spans="1:7">
      <c r="A36" s="1" t="s">
        <v>1038</v>
      </c>
      <c r="B36" s="7" t="s">
        <v>1061</v>
      </c>
      <c r="C36" s="4">
        <v>45681</v>
      </c>
      <c r="D36" s="2">
        <v>46277.3</v>
      </c>
      <c r="E36" s="7" t="s">
        <v>1038</v>
      </c>
      <c r="F36" s="1" t="s">
        <v>8</v>
      </c>
      <c r="G36" s="8">
        <v>43</v>
      </c>
    </row>
    <row r="37" spans="1:7">
      <c r="A37" s="1" t="s">
        <v>1038</v>
      </c>
      <c r="B37" s="7" t="s">
        <v>1062</v>
      </c>
      <c r="C37" s="4">
        <v>45722</v>
      </c>
      <c r="D37" s="2">
        <v>63280.69</v>
      </c>
      <c r="E37" s="7" t="s">
        <v>1038</v>
      </c>
      <c r="F37" s="1" t="s">
        <v>8</v>
      </c>
      <c r="G37" s="8">
        <v>175</v>
      </c>
    </row>
    <row r="38" spans="1:7">
      <c r="A38" s="1" t="s">
        <v>1038</v>
      </c>
      <c r="B38" s="7" t="s">
        <v>1062</v>
      </c>
      <c r="C38" s="4">
        <v>45741</v>
      </c>
      <c r="D38" s="2">
        <v>80649.14</v>
      </c>
      <c r="E38" s="7" t="s">
        <v>1038</v>
      </c>
      <c r="F38" s="1" t="s">
        <v>8</v>
      </c>
    </row>
    <row r="39" spans="1:7">
      <c r="A39" s="1" t="s">
        <v>1063</v>
      </c>
      <c r="B39" s="7" t="s">
        <v>1062</v>
      </c>
      <c r="C39" s="4">
        <v>45791</v>
      </c>
      <c r="D39" s="2">
        <v>28083.32</v>
      </c>
      <c r="E39" s="7" t="s">
        <v>1063</v>
      </c>
    </row>
    <row r="40" spans="1:7">
      <c r="A40" s="1" t="s">
        <v>38</v>
      </c>
      <c r="B40" s="7" t="s">
        <v>1060</v>
      </c>
      <c r="C40" s="4">
        <v>45804</v>
      </c>
      <c r="D40" s="2">
        <v>1440</v>
      </c>
      <c r="E40" s="7" t="s">
        <v>38</v>
      </c>
    </row>
    <row r="41" spans="1:7">
      <c r="A41" s="1" t="s">
        <v>218</v>
      </c>
      <c r="B41" s="7" t="s">
        <v>219</v>
      </c>
      <c r="C41" s="4">
        <v>45805</v>
      </c>
      <c r="D41" s="2">
        <v>223932</v>
      </c>
      <c r="E41" s="7" t="s">
        <v>218</v>
      </c>
    </row>
    <row r="42" spans="1:7">
      <c r="A42" s="1" t="s">
        <v>1064</v>
      </c>
      <c r="B42" s="7" t="s">
        <v>219</v>
      </c>
      <c r="C42" s="4">
        <v>45832</v>
      </c>
      <c r="D42" s="2">
        <v>281272.52</v>
      </c>
      <c r="E42" s="7" t="s">
        <v>1064</v>
      </c>
    </row>
    <row r="43" spans="1:7">
      <c r="A43" s="1" t="s">
        <v>1064</v>
      </c>
      <c r="B43" s="7" t="s">
        <v>219</v>
      </c>
      <c r="C43" s="4">
        <v>45824</v>
      </c>
      <c r="D43" s="2">
        <v>240149.26</v>
      </c>
      <c r="E43" s="7" t="s">
        <v>1064</v>
      </c>
    </row>
    <row r="44" spans="1:7">
      <c r="A44" s="1" t="s">
        <v>1064</v>
      </c>
      <c r="B44" s="7" t="s">
        <v>219</v>
      </c>
      <c r="C44" s="4">
        <v>45848</v>
      </c>
      <c r="D44" s="2">
        <v>214221.36</v>
      </c>
      <c r="E44" s="7" t="s">
        <v>1064</v>
      </c>
    </row>
    <row r="45" spans="1:7">
      <c r="A45" s="1" t="s">
        <v>1064</v>
      </c>
      <c r="B45" s="7" t="s">
        <v>219</v>
      </c>
      <c r="C45" s="4">
        <v>45861</v>
      </c>
      <c r="D45" s="2">
        <v>53930.13</v>
      </c>
      <c r="E45" s="7" t="s">
        <v>1064</v>
      </c>
    </row>
    <row r="46" spans="1:7">
      <c r="A46" s="1" t="s">
        <v>1064</v>
      </c>
      <c r="B46" s="7" t="s">
        <v>219</v>
      </c>
      <c r="C46" s="4">
        <v>45861</v>
      </c>
      <c r="D46" s="2">
        <v>71520.44</v>
      </c>
      <c r="E46" s="7" t="s">
        <v>1064</v>
      </c>
    </row>
    <row r="47" spans="1:7">
      <c r="A47" s="1" t="s">
        <v>218</v>
      </c>
      <c r="B47" s="7" t="s">
        <v>219</v>
      </c>
      <c r="C47" s="4">
        <v>45861</v>
      </c>
      <c r="D47" s="2">
        <v>91293</v>
      </c>
      <c r="E47" s="7" t="s">
        <v>218</v>
      </c>
    </row>
    <row r="48" spans="1:7">
      <c r="A48" s="7" t="s">
        <v>218</v>
      </c>
      <c r="B48" s="7" t="s">
        <v>219</v>
      </c>
      <c r="C48" s="4">
        <v>45898</v>
      </c>
      <c r="D48" s="2">
        <v>20199</v>
      </c>
      <c r="E48" s="7" t="s">
        <v>218</v>
      </c>
    </row>
    <row r="49" spans="1:7">
      <c r="A49" s="7" t="s">
        <v>218</v>
      </c>
      <c r="B49" s="7" t="s">
        <v>219</v>
      </c>
      <c r="C49" s="4">
        <v>45898</v>
      </c>
      <c r="D49" s="2">
        <v>67798</v>
      </c>
      <c r="E49" s="7" t="s">
        <v>218</v>
      </c>
    </row>
    <row r="50" spans="1:7">
      <c r="A50" s="7" t="s">
        <v>1064</v>
      </c>
      <c r="B50" s="7" t="s">
        <v>219</v>
      </c>
      <c r="C50" s="4">
        <v>45898</v>
      </c>
      <c r="D50" s="2">
        <v>33900</v>
      </c>
      <c r="E50" s="7" t="s">
        <v>1064</v>
      </c>
    </row>
    <row r="51" spans="1:7">
      <c r="A51" s="7" t="s">
        <v>1064</v>
      </c>
      <c r="B51" s="7" t="s">
        <v>219</v>
      </c>
      <c r="C51" s="4">
        <v>45898</v>
      </c>
      <c r="D51" s="2">
        <v>44027.17</v>
      </c>
      <c r="E51" s="7" t="s">
        <v>1064</v>
      </c>
    </row>
    <row r="52" customFormat="1" spans="1:7">
      <c r="A52" s="7" t="s">
        <v>218</v>
      </c>
      <c r="B52" t="s">
        <v>1065</v>
      </c>
      <c r="C52" s="4">
        <v>45889</v>
      </c>
      <c r="D52" s="2">
        <v>1246068</v>
      </c>
      <c r="E52" s="7" t="s">
        <v>218</v>
      </c>
      <c r="F52" s="1"/>
      <c r="G52" s="8"/>
    </row>
    <row r="53" spans="1:7">
      <c r="A53" s="1" t="s">
        <v>1066</v>
      </c>
      <c r="B53" s="7" t="s">
        <v>1067</v>
      </c>
      <c r="C53" s="4">
        <v>45916</v>
      </c>
      <c r="D53" s="2">
        <v>342000</v>
      </c>
      <c r="E53" s="1" t="s">
        <v>1066</v>
      </c>
    </row>
    <row r="54" spans="1:7">
      <c r="A54" s="1" t="s">
        <v>1064</v>
      </c>
      <c r="B54" s="7" t="s">
        <v>1068</v>
      </c>
      <c r="C54" s="4">
        <v>45947</v>
      </c>
      <c r="D54" s="2">
        <v>297430.95</v>
      </c>
      <c r="E54" s="1" t="s">
        <v>1064</v>
      </c>
    </row>
    <row r="55" spans="1:7">
      <c r="A55" s="1" t="s">
        <v>233</v>
      </c>
      <c r="B55" s="7" t="s">
        <v>1069</v>
      </c>
      <c r="C55" s="4">
        <v>46003</v>
      </c>
      <c r="D55" s="2">
        <v>9716.09</v>
      </c>
      <c r="E55" s="1" t="s">
        <v>233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G22" sqref="G22"/>
    </sheetView>
  </sheetViews>
  <sheetFormatPr defaultColWidth="9.16071428571429" defaultRowHeight="17.6" outlineLevelCol="6"/>
  <cols>
    <col min="1" max="1" width="12" customWidth="1"/>
    <col min="2" max="2" width="16.0625" style="2" customWidth="1"/>
    <col min="3" max="3" width="24.5" style="7" customWidth="1"/>
    <col min="4" max="4" width="8.5" style="1" customWidth="1"/>
    <col min="5" max="5" width="8.5" style="8" customWidth="1"/>
    <col min="6" max="6" width="21.5714285714286" style="7" customWidth="1"/>
    <col min="7" max="7" width="28" style="1" customWidth="1"/>
  </cols>
  <sheetData>
    <row r="1" s="1" customFormat="1" ht="18" spans="1:7">
      <c r="A1" s="1" t="s">
        <v>2</v>
      </c>
      <c r="B1" s="3" t="s">
        <v>3</v>
      </c>
      <c r="C1" s="7" t="s">
        <v>263</v>
      </c>
      <c r="D1" s="1" t="s">
        <v>5</v>
      </c>
      <c r="E1" s="8" t="s">
        <v>6</v>
      </c>
      <c r="F1" s="7" t="s">
        <v>0</v>
      </c>
      <c r="G1" s="1" t="s">
        <v>1</v>
      </c>
    </row>
    <row r="2" spans="1:7">
      <c r="A2" s="4">
        <v>45791</v>
      </c>
      <c r="B2" s="2">
        <v>289411.2</v>
      </c>
      <c r="C2" t="s">
        <v>1070</v>
      </c>
      <c r="F2" s="7" t="s">
        <v>1071</v>
      </c>
      <c r="G2" s="1" t="s">
        <v>1072</v>
      </c>
    </row>
    <row r="3" spans="1:7">
      <c r="A3" s="4">
        <v>45807</v>
      </c>
      <c r="B3" s="2">
        <v>1638193.97</v>
      </c>
      <c r="C3" t="s">
        <v>1070</v>
      </c>
      <c r="F3" s="7" t="s">
        <v>1071</v>
      </c>
      <c r="G3" s="1" t="s">
        <v>1072</v>
      </c>
    </row>
    <row r="4" spans="1:7">
      <c r="A4" s="4">
        <v>45807</v>
      </c>
      <c r="B4" s="2">
        <v>272346</v>
      </c>
      <c r="C4" t="s">
        <v>1073</v>
      </c>
      <c r="F4" s="7" t="s">
        <v>1071</v>
      </c>
      <c r="G4" s="1" t="s">
        <v>1074</v>
      </c>
    </row>
    <row r="5" spans="1:7">
      <c r="A5" s="4">
        <v>45813</v>
      </c>
      <c r="B5" s="2">
        <v>500000</v>
      </c>
      <c r="C5" t="s">
        <v>1070</v>
      </c>
      <c r="F5" s="7" t="s">
        <v>1075</v>
      </c>
      <c r="G5" s="1" t="s">
        <v>1076</v>
      </c>
    </row>
    <row r="6" spans="1:7">
      <c r="A6" s="4">
        <v>45824</v>
      </c>
      <c r="B6" s="2">
        <v>3500000</v>
      </c>
      <c r="C6" t="s">
        <v>1070</v>
      </c>
      <c r="F6" s="7" t="s">
        <v>1075</v>
      </c>
      <c r="G6" s="1" t="s">
        <v>1076</v>
      </c>
    </row>
    <row r="7" spans="1:7">
      <c r="A7" s="4"/>
    </row>
    <row r="8" spans="1:7">
      <c r="A8" s="4"/>
    </row>
    <row r="10" spans="1:7">
      <c r="A10" s="11"/>
    </row>
    <row r="11" spans="1:7">
      <c r="A11" s="11"/>
    </row>
    <row r="22" spans="1:1">
      <c r="A22" s="11"/>
    </row>
    <row r="25" spans="1:1">
      <c r="A25" s="11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zoomScale="90" zoomScaleNormal="90" topLeftCell="A14" workbookViewId="0">
      <selection activeCell="E51" sqref="E51:E52"/>
    </sheetView>
  </sheetViews>
  <sheetFormatPr defaultColWidth="9.16071428571429" defaultRowHeight="17.6" outlineLevelCol="6"/>
  <cols>
    <col min="1" max="1" width="21.5714285714286" style="7" customWidth="1"/>
    <col min="2" max="2" width="28" style="1" customWidth="1"/>
    <col min="3" max="3" width="12" customWidth="1"/>
    <col min="4" max="4" width="16.0625" style="2" customWidth="1"/>
    <col min="5" max="5" width="24.5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pans="1:7">
      <c r="A2" s="7" t="s">
        <v>1077</v>
      </c>
      <c r="B2" s="1" t="s">
        <v>1078</v>
      </c>
      <c r="C2" s="4">
        <v>45604</v>
      </c>
      <c r="D2" s="2">
        <v>113478.78</v>
      </c>
      <c r="E2" s="4">
        <v>45596</v>
      </c>
    </row>
    <row r="3" spans="1:7">
      <c r="A3" s="7" t="s">
        <v>1077</v>
      </c>
      <c r="B3" s="1" t="s">
        <v>1078</v>
      </c>
      <c r="C3" s="4">
        <v>45621</v>
      </c>
      <c r="D3" s="2">
        <v>113928.38</v>
      </c>
      <c r="E3" s="4">
        <v>45626</v>
      </c>
    </row>
    <row r="4" spans="1:7">
      <c r="A4" s="7" t="s">
        <v>1077</v>
      </c>
      <c r="B4" s="1" t="s">
        <v>1078</v>
      </c>
      <c r="C4" s="4">
        <v>45636</v>
      </c>
      <c r="D4" s="2">
        <v>103571.62</v>
      </c>
      <c r="E4" s="4">
        <v>45626</v>
      </c>
    </row>
    <row r="5" spans="1:7">
      <c r="A5" s="7" t="s">
        <v>1077</v>
      </c>
      <c r="B5" s="1" t="s">
        <v>1078</v>
      </c>
      <c r="C5" s="4">
        <v>45651</v>
      </c>
      <c r="D5" s="2">
        <v>103571.62</v>
      </c>
      <c r="E5" s="4">
        <v>45657</v>
      </c>
    </row>
    <row r="6" spans="1:7">
      <c r="A6" s="7" t="s">
        <v>1077</v>
      </c>
      <c r="B6" s="1" t="s">
        <v>1078</v>
      </c>
      <c r="C6" s="4">
        <v>45667</v>
      </c>
      <c r="D6" s="2">
        <v>113928.38</v>
      </c>
      <c r="E6" s="4">
        <v>45657</v>
      </c>
    </row>
    <row r="7" spans="1:7">
      <c r="A7" s="7" t="s">
        <v>1077</v>
      </c>
      <c r="B7" s="1" t="s">
        <v>1078</v>
      </c>
      <c r="C7" s="4">
        <v>45682</v>
      </c>
      <c r="D7" s="2">
        <v>63970.41</v>
      </c>
      <c r="E7" s="4">
        <v>45688</v>
      </c>
    </row>
    <row r="8" spans="1:7">
      <c r="A8" s="7" t="s">
        <v>1077</v>
      </c>
      <c r="B8" s="1" t="s">
        <v>1078</v>
      </c>
      <c r="C8" s="4">
        <v>45698</v>
      </c>
      <c r="D8" s="2">
        <v>186154.59</v>
      </c>
      <c r="E8" s="4">
        <v>45688</v>
      </c>
    </row>
    <row r="9" spans="1:7">
      <c r="A9" s="7" t="s">
        <v>1077</v>
      </c>
      <c r="B9" s="1" t="s">
        <v>1078</v>
      </c>
      <c r="C9" s="4">
        <v>45713</v>
      </c>
      <c r="D9" s="2">
        <v>125063</v>
      </c>
      <c r="E9" s="4">
        <v>45716</v>
      </c>
    </row>
    <row r="10" spans="1:7">
      <c r="A10" s="7" t="s">
        <v>1077</v>
      </c>
      <c r="B10" s="1" t="s">
        <v>1078</v>
      </c>
      <c r="C10" s="4">
        <v>45726</v>
      </c>
      <c r="D10" s="2">
        <v>125062</v>
      </c>
      <c r="E10" s="4">
        <v>45717</v>
      </c>
      <c r="G10" s="8" t="s">
        <v>1079</v>
      </c>
    </row>
    <row r="11" spans="1:7">
      <c r="A11" s="7" t="s">
        <v>1077</v>
      </c>
      <c r="B11" s="1" t="s">
        <v>1078</v>
      </c>
      <c r="C11" s="4">
        <v>45741</v>
      </c>
      <c r="D11" s="2">
        <v>119107.76</v>
      </c>
      <c r="E11" s="4">
        <v>45717</v>
      </c>
    </row>
    <row r="12" spans="1:7">
      <c r="A12" s="7" t="s">
        <v>1077</v>
      </c>
      <c r="B12" s="1" t="s">
        <v>1078</v>
      </c>
      <c r="C12" s="4">
        <v>45757</v>
      </c>
      <c r="D12" s="2">
        <v>131017.24</v>
      </c>
      <c r="E12" s="4">
        <v>45748</v>
      </c>
      <c r="G12" s="8">
        <v>394</v>
      </c>
    </row>
    <row r="13" spans="1:7">
      <c r="A13" s="7" t="s">
        <v>1077</v>
      </c>
      <c r="B13" s="1" t="s">
        <v>1078</v>
      </c>
      <c r="C13" s="4">
        <v>45772</v>
      </c>
      <c r="D13" s="2">
        <v>125063</v>
      </c>
      <c r="E13" s="4">
        <v>45748</v>
      </c>
      <c r="G13" s="8" t="s">
        <v>1080</v>
      </c>
    </row>
    <row r="14" spans="1:7">
      <c r="A14" s="7" t="s">
        <v>1077</v>
      </c>
      <c r="B14" s="1" t="s">
        <v>1081</v>
      </c>
      <c r="C14" s="4">
        <v>45787</v>
      </c>
      <c r="D14" s="2">
        <v>125062</v>
      </c>
      <c r="E14" s="4">
        <v>45808</v>
      </c>
    </row>
    <row r="15" spans="1:7">
      <c r="A15" s="7" t="s">
        <v>1082</v>
      </c>
      <c r="C15" s="4">
        <v>45787</v>
      </c>
      <c r="D15" s="2">
        <v>8675.1</v>
      </c>
      <c r="E15" s="4">
        <v>45808</v>
      </c>
    </row>
    <row r="16" spans="1:7">
      <c r="A16" s="7" t="s">
        <v>1077</v>
      </c>
      <c r="C16" s="4">
        <v>45800</v>
      </c>
      <c r="D16" s="2">
        <v>97270.55</v>
      </c>
      <c r="E16" s="4">
        <v>45808</v>
      </c>
    </row>
    <row r="17" spans="1:5">
      <c r="A17" s="7" t="s">
        <v>1082</v>
      </c>
      <c r="C17" s="4">
        <v>45800</v>
      </c>
      <c r="D17" s="2">
        <v>105164.26</v>
      </c>
      <c r="E17" s="4">
        <v>45808</v>
      </c>
    </row>
    <row r="18" spans="1:5">
      <c r="A18" s="7" t="s">
        <v>1083</v>
      </c>
      <c r="C18" s="4">
        <v>45800</v>
      </c>
      <c r="D18" s="2">
        <v>113839.36</v>
      </c>
      <c r="E18" s="4">
        <v>45808</v>
      </c>
    </row>
    <row r="19" ht="18" spans="1:5">
      <c r="A19" s="9" t="s">
        <v>1084</v>
      </c>
      <c r="C19" s="4">
        <v>45818</v>
      </c>
      <c r="D19" s="2">
        <v>819853.11</v>
      </c>
      <c r="E19" s="4">
        <v>45838</v>
      </c>
    </row>
    <row r="20" ht="18" spans="1:5">
      <c r="A20" s="9" t="s">
        <v>1085</v>
      </c>
      <c r="C20" s="4">
        <v>45833</v>
      </c>
      <c r="D20" s="2">
        <v>897377.28</v>
      </c>
      <c r="E20" s="4">
        <v>45838</v>
      </c>
    </row>
    <row r="21" spans="1:5">
      <c r="A21" s="7" t="s">
        <v>1083</v>
      </c>
      <c r="C21" s="4">
        <v>45848</v>
      </c>
      <c r="D21" s="2">
        <v>135485.17</v>
      </c>
      <c r="E21" s="4">
        <v>45869</v>
      </c>
    </row>
    <row r="22" spans="1:5">
      <c r="A22" s="7" t="s">
        <v>1086</v>
      </c>
      <c r="C22" s="4">
        <v>45848</v>
      </c>
      <c r="D22" s="2">
        <v>135484.16</v>
      </c>
      <c r="E22" s="4">
        <v>45869</v>
      </c>
    </row>
    <row r="23" spans="1:5">
      <c r="A23" s="7" t="s">
        <v>1087</v>
      </c>
      <c r="C23" s="4">
        <v>45848</v>
      </c>
      <c r="D23" s="2">
        <v>135484.17</v>
      </c>
      <c r="E23" s="4">
        <v>45869</v>
      </c>
    </row>
    <row r="24" spans="1:5">
      <c r="A24" s="7" t="s">
        <v>1077</v>
      </c>
      <c r="C24" s="4">
        <v>45848</v>
      </c>
      <c r="D24" s="2">
        <v>144809.37</v>
      </c>
      <c r="E24" s="4">
        <v>45869</v>
      </c>
    </row>
    <row r="25" spans="1:5">
      <c r="A25" s="7" t="s">
        <v>1088</v>
      </c>
      <c r="C25" s="4">
        <v>45848</v>
      </c>
      <c r="D25" s="2">
        <v>135484.17</v>
      </c>
      <c r="E25" s="4">
        <v>45869</v>
      </c>
    </row>
    <row r="26" spans="1:5">
      <c r="A26" s="7" t="s">
        <v>1082</v>
      </c>
      <c r="C26" s="4">
        <v>45848</v>
      </c>
      <c r="D26" s="2">
        <v>135485.17</v>
      </c>
      <c r="E26" s="4">
        <v>45869</v>
      </c>
    </row>
    <row r="27" spans="1:5">
      <c r="A27" s="7" t="s">
        <v>1089</v>
      </c>
      <c r="C27" s="4">
        <v>45848</v>
      </c>
      <c r="D27" s="2">
        <v>135484.17</v>
      </c>
      <c r="E27" s="4">
        <v>45869</v>
      </c>
    </row>
    <row r="28" spans="1:5">
      <c r="A28" s="7" t="s">
        <v>1090</v>
      </c>
      <c r="C28" s="4">
        <v>45848</v>
      </c>
      <c r="D28" s="2">
        <v>135484.17</v>
      </c>
      <c r="E28" s="4">
        <v>45869</v>
      </c>
    </row>
    <row r="29" spans="1:5">
      <c r="A29" s="7" t="s">
        <v>1091</v>
      </c>
      <c r="C29" s="4">
        <v>45863</v>
      </c>
      <c r="D29" s="2">
        <v>120429.93</v>
      </c>
      <c r="E29" s="4">
        <v>45869</v>
      </c>
    </row>
    <row r="30" spans="1:5">
      <c r="A30" s="7" t="s">
        <v>1092</v>
      </c>
      <c r="C30" s="4">
        <v>45863</v>
      </c>
      <c r="D30" s="2">
        <v>120430.93</v>
      </c>
      <c r="E30" s="4">
        <v>45869</v>
      </c>
    </row>
    <row r="31" spans="1:5">
      <c r="A31" s="7" t="s">
        <v>1093</v>
      </c>
      <c r="C31" s="4">
        <v>45863</v>
      </c>
      <c r="D31" s="2">
        <v>120429.93</v>
      </c>
      <c r="E31" s="4">
        <v>45869</v>
      </c>
    </row>
    <row r="32" spans="1:5">
      <c r="A32" s="7" t="s">
        <v>1094</v>
      </c>
      <c r="C32" s="4">
        <v>45863</v>
      </c>
      <c r="D32" s="2">
        <v>119625</v>
      </c>
      <c r="E32" s="4">
        <v>45869</v>
      </c>
    </row>
    <row r="33" spans="1:5">
      <c r="A33" s="7" t="s">
        <v>1095</v>
      </c>
      <c r="C33" s="4">
        <v>45863</v>
      </c>
      <c r="D33" s="2">
        <v>120430.93</v>
      </c>
      <c r="E33" s="4">
        <v>45869</v>
      </c>
    </row>
    <row r="34" spans="1:5">
      <c r="A34" s="7" t="s">
        <v>1096</v>
      </c>
      <c r="C34" s="4">
        <v>45863</v>
      </c>
      <c r="D34" s="2">
        <v>120430.93</v>
      </c>
      <c r="E34" s="4">
        <v>45869</v>
      </c>
    </row>
    <row r="35" spans="1:5">
      <c r="A35" s="7" t="s">
        <v>1097</v>
      </c>
      <c r="C35" s="4">
        <v>45863</v>
      </c>
      <c r="D35" s="2">
        <v>120430.93</v>
      </c>
      <c r="E35" s="4">
        <v>45869</v>
      </c>
    </row>
    <row r="36" spans="1:5">
      <c r="A36" s="7" t="s">
        <v>1098</v>
      </c>
      <c r="C36" s="4">
        <v>45863</v>
      </c>
      <c r="D36" s="2">
        <v>120430.93</v>
      </c>
      <c r="E36" s="4">
        <v>45869</v>
      </c>
    </row>
    <row r="37" spans="1:5">
      <c r="A37" s="7" t="s">
        <v>1099</v>
      </c>
      <c r="C37" s="4">
        <v>45877</v>
      </c>
      <c r="D37" s="2">
        <v>537304.6</v>
      </c>
      <c r="E37" s="4">
        <v>45877</v>
      </c>
    </row>
    <row r="38" spans="1:5">
      <c r="A38" s="7" t="s">
        <v>1099</v>
      </c>
      <c r="C38" s="4">
        <v>45877</v>
      </c>
      <c r="D38" s="2">
        <v>1038360.49</v>
      </c>
      <c r="E38" s="4">
        <v>45877</v>
      </c>
    </row>
    <row r="39" spans="1:5">
      <c r="A39" s="12" t="s">
        <v>1100</v>
      </c>
      <c r="C39" s="4">
        <v>45894</v>
      </c>
      <c r="D39" s="2">
        <v>923540.45</v>
      </c>
      <c r="E39" s="4">
        <v>45894</v>
      </c>
    </row>
    <row r="40" spans="1:5">
      <c r="A40" s="12" t="s">
        <v>1100</v>
      </c>
      <c r="C40" s="4">
        <v>45894</v>
      </c>
      <c r="D40" s="2">
        <v>1054558.7</v>
      </c>
      <c r="E40" s="4">
        <v>45894</v>
      </c>
    </row>
    <row r="41" spans="1:5">
      <c r="A41" s="1" t="s">
        <v>1101</v>
      </c>
      <c r="B41"/>
      <c r="C41" s="4">
        <v>45910</v>
      </c>
      <c r="D41" s="2">
        <v>1118985.76</v>
      </c>
      <c r="E41" s="4">
        <v>45910</v>
      </c>
    </row>
    <row r="42" spans="1:5">
      <c r="A42" s="1" t="s">
        <v>1101</v>
      </c>
      <c r="B42"/>
      <c r="C42" s="4">
        <v>45910</v>
      </c>
      <c r="D42" s="2">
        <v>1555486.91</v>
      </c>
      <c r="E42" s="4">
        <v>45910</v>
      </c>
    </row>
    <row r="43" spans="1:5">
      <c r="B43" s="1" t="s">
        <v>1102</v>
      </c>
      <c r="C43" s="4">
        <v>45925</v>
      </c>
      <c r="D43" s="2">
        <v>3190346.76</v>
      </c>
      <c r="E43" s="4">
        <v>45925</v>
      </c>
    </row>
    <row r="44" spans="1:5">
      <c r="A44" s="7" t="s">
        <v>387</v>
      </c>
      <c r="B44" s="1" t="s">
        <v>1103</v>
      </c>
      <c r="C44" s="4">
        <v>45940</v>
      </c>
      <c r="D44" s="2">
        <v>1122685</v>
      </c>
      <c r="E44" s="4">
        <v>45940</v>
      </c>
    </row>
    <row r="45" spans="1:5">
      <c r="A45" s="7" t="s">
        <v>387</v>
      </c>
      <c r="B45" s="1" t="s">
        <v>1103</v>
      </c>
      <c r="C45" s="4">
        <v>45940</v>
      </c>
      <c r="D45" s="2">
        <v>2712206.16</v>
      </c>
      <c r="E45" s="4">
        <v>45940</v>
      </c>
    </row>
    <row r="46" spans="1:5">
      <c r="B46" s="1" t="s">
        <v>1104</v>
      </c>
      <c r="C46" s="4">
        <v>45958</v>
      </c>
      <c r="D46" s="2">
        <v>4303491.91</v>
      </c>
      <c r="E46" s="4">
        <v>45958</v>
      </c>
    </row>
    <row r="47" spans="1:5">
      <c r="B47" s="1" t="s">
        <v>1105</v>
      </c>
      <c r="C47" s="4">
        <v>45962</v>
      </c>
      <c r="D47" s="2">
        <v>1062080.02</v>
      </c>
      <c r="E47" s="4">
        <v>45962</v>
      </c>
    </row>
    <row r="48" spans="1:5">
      <c r="B48" s="1" t="s">
        <v>1106</v>
      </c>
      <c r="C48" s="4">
        <v>45971</v>
      </c>
      <c r="D48" s="2">
        <v>5140689.29</v>
      </c>
      <c r="E48" s="4">
        <v>45971</v>
      </c>
    </row>
    <row r="49" spans="1:5">
      <c r="A49" s="7" t="s">
        <v>387</v>
      </c>
      <c r="B49" s="1" t="s">
        <v>1107</v>
      </c>
      <c r="C49" s="4">
        <v>45973</v>
      </c>
      <c r="D49" s="2">
        <v>29887.19</v>
      </c>
      <c r="E49" s="4">
        <v>45973</v>
      </c>
    </row>
    <row r="50" spans="1:5">
      <c r="B50" s="1" t="s">
        <v>1108</v>
      </c>
      <c r="C50" s="4">
        <v>45987</v>
      </c>
      <c r="D50" s="2">
        <v>4993199.21</v>
      </c>
      <c r="E50" s="4">
        <v>45987</v>
      </c>
    </row>
    <row r="51" spans="1:5">
      <c r="B51" s="7" t="s">
        <v>1109</v>
      </c>
      <c r="C51" s="4">
        <v>46001</v>
      </c>
      <c r="D51" s="2">
        <v>5006050.79</v>
      </c>
      <c r="E51" s="4">
        <v>46001</v>
      </c>
    </row>
    <row r="52" spans="1:5">
      <c r="B52" s="1" t="s">
        <v>1110</v>
      </c>
      <c r="C52" s="4">
        <v>46016</v>
      </c>
      <c r="D52" s="2">
        <v>5047731.46</v>
      </c>
      <c r="E52" s="4">
        <v>46016</v>
      </c>
    </row>
    <row r="1048576" spans="3:3">
      <c r="C1048576" s="4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2" sqref="A2"/>
    </sheetView>
  </sheetViews>
  <sheetFormatPr defaultColWidth="9.16071428571429" defaultRowHeight="17.6" outlineLevelCol="6"/>
  <cols>
    <col min="1" max="1" width="12" customWidth="1"/>
    <col min="2" max="2" width="16.0625" style="2" customWidth="1"/>
    <col min="3" max="3" width="24.5" style="7" customWidth="1"/>
    <col min="4" max="4" width="8.5" style="1" customWidth="1"/>
    <col min="5" max="5" width="8.5" style="8" customWidth="1"/>
    <col min="6" max="6" width="34.6428571428571" style="7" customWidth="1"/>
    <col min="7" max="7" width="28" style="1" customWidth="1"/>
  </cols>
  <sheetData>
    <row r="1" s="1" customFormat="1" ht="18" spans="1:7">
      <c r="A1" s="1" t="s">
        <v>2</v>
      </c>
      <c r="B1" s="3" t="s">
        <v>3</v>
      </c>
      <c r="C1" s="7" t="s">
        <v>263</v>
      </c>
      <c r="D1" s="1" t="s">
        <v>5</v>
      </c>
      <c r="E1" s="8" t="s">
        <v>6</v>
      </c>
      <c r="F1" s="7" t="s">
        <v>0</v>
      </c>
      <c r="G1" s="1" t="s">
        <v>1</v>
      </c>
    </row>
    <row r="2" spans="1:7">
      <c r="A2" s="4">
        <v>45791</v>
      </c>
      <c r="B2" s="2">
        <v>1469031.41</v>
      </c>
      <c r="C2" t="s">
        <v>1111</v>
      </c>
      <c r="F2" s="7" t="s">
        <v>946</v>
      </c>
    </row>
    <row r="3" spans="1:7">
      <c r="A3" s="4"/>
      <c r="C3"/>
    </row>
    <row r="4" spans="1:7">
      <c r="A4" s="4"/>
      <c r="C4"/>
    </row>
    <row r="5" spans="1:7">
      <c r="A5" s="4"/>
      <c r="C5"/>
    </row>
    <row r="6" spans="1:7">
      <c r="A6" s="4"/>
    </row>
    <row r="7" spans="1:7">
      <c r="A7" s="4"/>
    </row>
    <row r="8" spans="1:7">
      <c r="A8" s="4"/>
    </row>
    <row r="10" spans="1:7">
      <c r="A10" s="11"/>
    </row>
    <row r="11" spans="1:7">
      <c r="A11" s="11"/>
    </row>
    <row r="22" spans="1:1">
      <c r="A22" s="11"/>
    </row>
    <row r="25" spans="1:1">
      <c r="A25" s="11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90" zoomScaleNormal="90" workbookViewId="0">
      <selection activeCell="C26" sqref="C26"/>
    </sheetView>
  </sheetViews>
  <sheetFormatPr defaultColWidth="9.16071428571429" defaultRowHeight="17.6" outlineLevelCol="6"/>
  <cols>
    <col min="1" max="1" width="64" style="7" customWidth="1"/>
    <col min="2" max="2" width="36.8571428571429" style="1" customWidth="1"/>
    <col min="3" max="3" width="12" customWidth="1"/>
    <col min="4" max="4" width="16.0625" style="2" customWidth="1"/>
    <col min="5" max="5" width="24.5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pans="1:7">
      <c r="A2" s="7" t="s">
        <v>1112</v>
      </c>
      <c r="C2" s="4">
        <v>45712</v>
      </c>
      <c r="D2" s="2">
        <v>100000</v>
      </c>
      <c r="E2" s="1" t="s">
        <v>1113</v>
      </c>
      <c r="F2" s="1" t="s">
        <v>8</v>
      </c>
    </row>
    <row r="3" spans="1:7">
      <c r="A3" s="7" t="s">
        <v>1114</v>
      </c>
      <c r="C3" s="4">
        <v>45792</v>
      </c>
      <c r="D3" s="2">
        <v>754800</v>
      </c>
      <c r="E3" s="1" t="s">
        <v>1115</v>
      </c>
    </row>
    <row r="4" spans="1:7">
      <c r="A4" s="7" t="s">
        <v>98</v>
      </c>
      <c r="C4" s="4">
        <v>45803</v>
      </c>
      <c r="D4" s="2">
        <v>125000</v>
      </c>
      <c r="E4" s="1" t="s">
        <v>99</v>
      </c>
    </row>
    <row r="5" spans="1:7">
      <c r="A5" s="7" t="s">
        <v>1116</v>
      </c>
      <c r="C5" s="4">
        <v>45806</v>
      </c>
      <c r="D5" s="2">
        <v>120000</v>
      </c>
      <c r="E5" s="1" t="s">
        <v>1113</v>
      </c>
    </row>
    <row r="6" spans="1:7">
      <c r="A6" s="7" t="s">
        <v>951</v>
      </c>
      <c r="C6" s="4">
        <v>45818</v>
      </c>
      <c r="D6" s="2">
        <v>1350000</v>
      </c>
      <c r="E6" s="7" t="s">
        <v>952</v>
      </c>
    </row>
    <row r="7" spans="1:7">
      <c r="A7" s="7" t="s">
        <v>1116</v>
      </c>
      <c r="C7" s="4">
        <v>45853</v>
      </c>
      <c r="D7" s="2">
        <v>260000</v>
      </c>
      <c r="E7" s="1" t="s">
        <v>1113</v>
      </c>
    </row>
    <row r="8" spans="1:7">
      <c r="A8" s="7" t="s">
        <v>1116</v>
      </c>
      <c r="C8" s="4">
        <v>45853</v>
      </c>
      <c r="D8" s="2">
        <v>70000</v>
      </c>
      <c r="E8" s="1" t="s">
        <v>1113</v>
      </c>
    </row>
    <row r="9" spans="1:7">
      <c r="A9" s="7" t="s">
        <v>98</v>
      </c>
      <c r="C9" s="4">
        <v>45855</v>
      </c>
      <c r="D9" s="2">
        <v>175200</v>
      </c>
      <c r="E9" s="1" t="s">
        <v>1117</v>
      </c>
    </row>
    <row r="10" spans="1:7">
      <c r="A10" s="7" t="s">
        <v>98</v>
      </c>
      <c r="C10" s="4">
        <v>45862</v>
      </c>
      <c r="D10" s="2">
        <v>230616</v>
      </c>
      <c r="E10" s="1" t="s">
        <v>1117</v>
      </c>
    </row>
    <row r="11" spans="1:7">
      <c r="A11" s="7" t="s">
        <v>951</v>
      </c>
      <c r="B11" s="1" t="s">
        <v>1118</v>
      </c>
      <c r="C11" s="4">
        <v>45870</v>
      </c>
      <c r="D11" s="2">
        <v>3150000</v>
      </c>
      <c r="E11" s="7" t="s">
        <v>952</v>
      </c>
    </row>
    <row r="12" spans="1:7">
      <c r="A12" s="7" t="s">
        <v>98</v>
      </c>
      <c r="C12" s="4">
        <v>45873</v>
      </c>
      <c r="D12" s="2">
        <v>450000</v>
      </c>
      <c r="E12" s="1" t="s">
        <v>1117</v>
      </c>
    </row>
    <row r="13" spans="1:7">
      <c r="A13" s="7" t="s">
        <v>98</v>
      </c>
      <c r="C13" s="4">
        <v>45894</v>
      </c>
      <c r="D13" s="2">
        <v>859666</v>
      </c>
      <c r="E13" s="1" t="s">
        <v>1117</v>
      </c>
    </row>
    <row r="14" spans="1:7">
      <c r="A14" s="7" t="s">
        <v>1116</v>
      </c>
      <c r="C14" s="4">
        <v>45895</v>
      </c>
      <c r="D14" s="2">
        <v>270000</v>
      </c>
      <c r="E14" s="1" t="s">
        <v>1113</v>
      </c>
    </row>
    <row r="15" spans="1:7">
      <c r="A15" s="7" t="s">
        <v>103</v>
      </c>
      <c r="B15" s="1" t="s">
        <v>1119</v>
      </c>
      <c r="C15" s="4">
        <v>45902</v>
      </c>
      <c r="D15" s="2">
        <v>4522</v>
      </c>
      <c r="E15" s="7" t="s">
        <v>1119</v>
      </c>
    </row>
    <row r="16" spans="1:7">
      <c r="A16" s="7" t="s">
        <v>1120</v>
      </c>
      <c r="B16" s="1" t="s">
        <v>1121</v>
      </c>
      <c r="C16" s="4">
        <v>45904</v>
      </c>
      <c r="D16" s="2">
        <v>6000</v>
      </c>
      <c r="E16" s="7" t="s">
        <v>1119</v>
      </c>
    </row>
    <row r="17" spans="1:5">
      <c r="A17" s="7" t="s">
        <v>1116</v>
      </c>
      <c r="B17" s="1" t="s">
        <v>1122</v>
      </c>
      <c r="C17" s="4">
        <v>45915</v>
      </c>
      <c r="D17" s="2">
        <v>520000</v>
      </c>
      <c r="E17" s="1" t="s">
        <v>1113</v>
      </c>
    </row>
    <row r="18" spans="1:5">
      <c r="A18" s="7" t="s">
        <v>103</v>
      </c>
      <c r="B18" s="1" t="s">
        <v>1123</v>
      </c>
      <c r="C18" s="4">
        <v>45916</v>
      </c>
      <c r="D18" s="2">
        <v>4742.5</v>
      </c>
      <c r="E18" s="7" t="s">
        <v>1119</v>
      </c>
    </row>
    <row r="19" spans="1:5">
      <c r="A19" s="7" t="s">
        <v>103</v>
      </c>
      <c r="B19" s="1" t="s">
        <v>1123</v>
      </c>
      <c r="C19" s="4">
        <v>45916</v>
      </c>
      <c r="D19" s="2">
        <v>20610</v>
      </c>
      <c r="E19" s="7" t="s">
        <v>1119</v>
      </c>
    </row>
    <row r="20" spans="1:5">
      <c r="A20" s="7" t="s">
        <v>98</v>
      </c>
      <c r="B20" s="1" t="s">
        <v>1124</v>
      </c>
      <c r="C20" s="4">
        <v>45929</v>
      </c>
      <c r="D20" s="2">
        <v>1000000</v>
      </c>
      <c r="E20" s="1" t="s">
        <v>1117</v>
      </c>
    </row>
    <row r="21" spans="1:5">
      <c r="A21" s="7" t="s">
        <v>1116</v>
      </c>
      <c r="B21" s="1" t="s">
        <v>1125</v>
      </c>
      <c r="C21" s="4">
        <v>45937</v>
      </c>
      <c r="D21" s="2">
        <v>800000</v>
      </c>
      <c r="E21" s="1" t="s">
        <v>1113</v>
      </c>
    </row>
    <row r="22" spans="1:5">
      <c r="A22" s="7" t="s">
        <v>103</v>
      </c>
      <c r="B22" s="1" t="s">
        <v>1126</v>
      </c>
      <c r="C22" s="4">
        <v>45966</v>
      </c>
      <c r="D22" s="2">
        <v>56264.4</v>
      </c>
      <c r="E22" s="7" t="s">
        <v>1119</v>
      </c>
    </row>
    <row r="23" spans="1:5">
      <c r="A23" s="7" t="s">
        <v>98</v>
      </c>
      <c r="B23" s="1" t="s">
        <v>1117</v>
      </c>
      <c r="C23" s="4">
        <v>45972</v>
      </c>
      <c r="D23" s="2">
        <v>350000</v>
      </c>
      <c r="E23" s="1" t="s">
        <v>1117</v>
      </c>
    </row>
    <row r="24" spans="1:5">
      <c r="A24" s="7" t="s">
        <v>98</v>
      </c>
      <c r="B24" s="1" t="s">
        <v>1124</v>
      </c>
      <c r="C24" s="4">
        <v>45996</v>
      </c>
      <c r="D24" s="2">
        <v>400000</v>
      </c>
      <c r="E24" s="1" t="s">
        <v>1124</v>
      </c>
    </row>
    <row r="25" spans="1:5">
      <c r="A25" s="7" t="s">
        <v>831</v>
      </c>
      <c r="B25" s="1" t="s">
        <v>1127</v>
      </c>
      <c r="C25" s="4">
        <v>46001</v>
      </c>
      <c r="D25" s="2">
        <v>498153.75</v>
      </c>
      <c r="E25" s="1" t="s">
        <v>1127</v>
      </c>
    </row>
    <row r="26" spans="1:5">
      <c r="A26" s="7" t="s">
        <v>1128</v>
      </c>
      <c r="B26" s="1" t="s">
        <v>1129</v>
      </c>
      <c r="C26" s="4">
        <v>46014</v>
      </c>
      <c r="D26" s="2">
        <v>483035.33</v>
      </c>
      <c r="E26" s="1" t="s">
        <v>1129</v>
      </c>
    </row>
    <row r="27" spans="1:5">
      <c r="A27" s="7" t="s">
        <v>1116</v>
      </c>
      <c r="B27" s="1" t="s">
        <v>1113</v>
      </c>
      <c r="C27" s="4">
        <v>46016</v>
      </c>
      <c r="D27" s="2">
        <v>950000</v>
      </c>
      <c r="E27" s="1" t="s">
        <v>1113</v>
      </c>
    </row>
    <row r="28" spans="1:5">
      <c r="A28" s="7" t="s">
        <v>1128</v>
      </c>
      <c r="B28" s="1" t="s">
        <v>1129</v>
      </c>
      <c r="C28" s="4">
        <v>46017</v>
      </c>
      <c r="D28" s="2">
        <v>779293.79</v>
      </c>
      <c r="E28" s="1" t="s">
        <v>1129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R26" sqref="R26"/>
    </sheetView>
  </sheetViews>
  <sheetFormatPr defaultColWidth="9.16071428571429" defaultRowHeight="17.6" outlineLevelCol="6"/>
  <cols>
    <col min="1" max="1" width="12" customWidth="1"/>
    <col min="2" max="2" width="17.2053571428571" style="2" customWidth="1"/>
    <col min="3" max="3" width="16.5625" style="7" customWidth="1"/>
    <col min="4" max="4" width="8.5" style="1" customWidth="1"/>
    <col min="5" max="5" width="8.5" style="8" customWidth="1"/>
    <col min="6" max="6" width="13.9196428571429" style="7" customWidth="1"/>
    <col min="7" max="7" width="28" customWidth="1"/>
  </cols>
  <sheetData>
    <row r="1" s="1" customFormat="1" ht="18" spans="1:7">
      <c r="A1" s="1" t="s">
        <v>2</v>
      </c>
      <c r="B1" s="3" t="s">
        <v>3</v>
      </c>
      <c r="C1" s="7" t="s">
        <v>263</v>
      </c>
      <c r="D1" s="1" t="s">
        <v>5</v>
      </c>
      <c r="E1" s="8" t="s">
        <v>6</v>
      </c>
      <c r="F1" s="7" t="s">
        <v>0</v>
      </c>
      <c r="G1" s="1" t="s">
        <v>1</v>
      </c>
    </row>
    <row r="2" spans="1:7">
      <c r="A2" s="4">
        <v>45887</v>
      </c>
      <c r="B2" s="2">
        <v>42218640</v>
      </c>
      <c r="C2" s="7" t="s">
        <v>1130</v>
      </c>
      <c r="F2" s="7" t="s">
        <v>1130</v>
      </c>
      <c r="G2" t="s">
        <v>1131</v>
      </c>
    </row>
    <row r="3" spans="1:7">
      <c r="A3" s="4">
        <v>46010</v>
      </c>
      <c r="B3" s="1">
        <v>600000</v>
      </c>
      <c r="C3" s="4" t="s">
        <v>1130</v>
      </c>
      <c r="F3" s="4" t="s">
        <v>1130</v>
      </c>
      <c r="G3" s="2" t="s">
        <v>1132</v>
      </c>
    </row>
    <row r="4" spans="1:7">
      <c r="A4" s="4">
        <v>46017</v>
      </c>
      <c r="B4" s="1">
        <v>11100000</v>
      </c>
      <c r="C4" s="4" t="s">
        <v>1130</v>
      </c>
      <c r="F4" s="4" t="s">
        <v>1130</v>
      </c>
      <c r="G4" s="2" t="s">
        <v>1131</v>
      </c>
    </row>
    <row r="5" spans="1:7">
      <c r="A5" s="4"/>
    </row>
    <row r="6" spans="1:7">
      <c r="A6" s="4"/>
    </row>
    <row r="7" spans="1:7">
      <c r="A7" s="4"/>
    </row>
    <row r="8" spans="1:7">
      <c r="A8" s="4"/>
    </row>
    <row r="9" spans="1:7">
      <c r="A9" s="4"/>
    </row>
    <row r="10" spans="1:7">
      <c r="A10" s="4"/>
    </row>
    <row r="11" spans="1:7">
      <c r="A11" s="4"/>
    </row>
    <row r="12" spans="1:7">
      <c r="A12" s="4"/>
    </row>
    <row r="13" spans="1:7">
      <c r="A13" s="4"/>
    </row>
    <row r="14" spans="1:7">
      <c r="A14" s="4"/>
    </row>
    <row r="15" spans="1:7">
      <c r="A15" s="4"/>
    </row>
    <row r="16" spans="1:7">
      <c r="A16" s="4"/>
    </row>
    <row r="17" spans="1:1">
      <c r="A17" s="4"/>
    </row>
    <row r="18" spans="1:1">
      <c r="A18" s="4"/>
    </row>
    <row r="21" spans="1:1">
      <c r="A21" s="11"/>
    </row>
    <row r="24" spans="1:1">
      <c r="A24" s="11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B1" workbookViewId="0">
      <selection activeCell="E17" sqref="E17:E23"/>
    </sheetView>
  </sheetViews>
  <sheetFormatPr defaultColWidth="9.16071428571429" defaultRowHeight="17.6" outlineLevelCol="6"/>
  <cols>
    <col min="1" max="1" width="45.1607142857143" style="7" customWidth="1"/>
    <col min="2" max="2" width="28" customWidth="1"/>
    <col min="3" max="3" width="12" customWidth="1"/>
    <col min="4" max="4" width="16.0625" style="2" customWidth="1"/>
    <col min="5" max="5" width="27.2053571428571" style="7" customWidth="1"/>
    <col min="6" max="6" width="8.5" style="1" customWidth="1"/>
    <col min="7" max="7" width="8.5" style="8" customWidth="1"/>
  </cols>
  <sheetData>
    <row r="1" s="1" customFormat="1" ht="18" spans="1:7">
      <c r="A1" s="7" t="s">
        <v>0</v>
      </c>
      <c r="B1" s="1" t="s">
        <v>1</v>
      </c>
      <c r="C1" s="1" t="s">
        <v>2</v>
      </c>
      <c r="D1" s="3" t="s">
        <v>3</v>
      </c>
      <c r="E1" s="7" t="s">
        <v>263</v>
      </c>
      <c r="F1" s="1" t="s">
        <v>5</v>
      </c>
      <c r="G1" s="8" t="s">
        <v>6</v>
      </c>
    </row>
    <row r="2" spans="1:7">
      <c r="A2" s="7" t="s">
        <v>1133</v>
      </c>
      <c r="C2" s="4">
        <v>45672</v>
      </c>
      <c r="D2" s="2">
        <v>173000</v>
      </c>
      <c r="E2" s="1" t="s">
        <v>1134</v>
      </c>
      <c r="F2" s="1" t="s">
        <v>8</v>
      </c>
    </row>
    <row r="3" spans="1:7">
      <c r="A3" s="7" t="s">
        <v>1135</v>
      </c>
      <c r="C3" s="4">
        <v>45680</v>
      </c>
      <c r="D3" s="2">
        <v>19500</v>
      </c>
      <c r="E3" s="1" t="s">
        <v>1134</v>
      </c>
      <c r="F3" s="1" t="s">
        <v>8</v>
      </c>
    </row>
    <row r="4" spans="1:7">
      <c r="A4" s="7" t="s">
        <v>1136</v>
      </c>
      <c r="C4" s="4">
        <v>45692</v>
      </c>
      <c r="D4" s="2">
        <v>8000</v>
      </c>
      <c r="E4" s="1" t="s">
        <v>27</v>
      </c>
      <c r="F4" s="1" t="s">
        <v>8</v>
      </c>
    </row>
    <row r="5" spans="1:7">
      <c r="A5" s="7" t="s">
        <v>43</v>
      </c>
      <c r="C5" s="4">
        <v>45741</v>
      </c>
      <c r="D5" s="2">
        <v>85740</v>
      </c>
      <c r="E5" s="1" t="s">
        <v>44</v>
      </c>
      <c r="F5" s="1" t="s">
        <v>8</v>
      </c>
    </row>
    <row r="6" spans="1:7">
      <c r="A6" s="7" t="s">
        <v>831</v>
      </c>
      <c r="C6" s="4">
        <v>45800</v>
      </c>
      <c r="D6" s="2">
        <v>25400</v>
      </c>
      <c r="E6" s="1" t="s">
        <v>1137</v>
      </c>
      <c r="F6" s="1" t="s">
        <v>8</v>
      </c>
    </row>
    <row r="7" spans="1:7">
      <c r="A7" s="3" t="s">
        <v>831</v>
      </c>
      <c r="C7" s="4">
        <v>45806</v>
      </c>
      <c r="D7" s="2">
        <v>63700</v>
      </c>
      <c r="E7" s="1" t="s">
        <v>1138</v>
      </c>
      <c r="F7" s="1" t="s">
        <v>8</v>
      </c>
    </row>
    <row r="8" spans="1:7">
      <c r="A8" s="7" t="s">
        <v>43</v>
      </c>
      <c r="C8" s="4">
        <v>45812</v>
      </c>
      <c r="D8" s="2">
        <v>65760</v>
      </c>
      <c r="E8" s="9" t="s">
        <v>1139</v>
      </c>
    </row>
    <row r="9" spans="1:7">
      <c r="A9" s="7" t="s">
        <v>831</v>
      </c>
      <c r="C9" s="4">
        <v>45861</v>
      </c>
      <c r="D9" s="2">
        <v>707600</v>
      </c>
      <c r="E9" s="7" t="s">
        <v>1137</v>
      </c>
    </row>
    <row r="10" spans="1:7">
      <c r="A10" s="7" t="s">
        <v>831</v>
      </c>
      <c r="C10" s="4">
        <v>45861</v>
      </c>
      <c r="D10" s="2">
        <v>226350</v>
      </c>
      <c r="E10" s="7" t="s">
        <v>1137</v>
      </c>
    </row>
    <row r="11" spans="1:7">
      <c r="A11" s="7" t="s">
        <v>831</v>
      </c>
      <c r="C11" s="4">
        <v>45861</v>
      </c>
      <c r="D11" s="2">
        <v>406900</v>
      </c>
      <c r="E11" s="7" t="s">
        <v>1137</v>
      </c>
    </row>
    <row r="12" spans="1:7">
      <c r="A12" s="7" t="s">
        <v>831</v>
      </c>
      <c r="C12" s="4">
        <v>45861</v>
      </c>
      <c r="D12" s="2">
        <v>21000</v>
      </c>
      <c r="E12" s="7" t="s">
        <v>1137</v>
      </c>
    </row>
    <row r="13" spans="1:7">
      <c r="A13" s="7" t="s">
        <v>1140</v>
      </c>
      <c r="C13" s="4">
        <v>45866</v>
      </c>
      <c r="D13" s="2">
        <v>1143648</v>
      </c>
      <c r="E13" s="7" t="s">
        <v>1141</v>
      </c>
    </row>
    <row r="14" spans="1:7">
      <c r="A14" s="7" t="s">
        <v>1142</v>
      </c>
      <c r="C14" s="4">
        <v>45869</v>
      </c>
      <c r="D14" s="2">
        <v>38000</v>
      </c>
      <c r="E14" s="7" t="s">
        <v>1143</v>
      </c>
    </row>
    <row r="15" spans="1:7">
      <c r="A15" s="7" t="s">
        <v>831</v>
      </c>
      <c r="C15" s="4">
        <v>45883</v>
      </c>
      <c r="D15" s="2">
        <v>1092350</v>
      </c>
      <c r="E15" s="7" t="s">
        <v>1144</v>
      </c>
    </row>
    <row r="16" spans="1:7">
      <c r="A16" s="7" t="s">
        <v>1142</v>
      </c>
      <c r="C16" s="4">
        <v>45895</v>
      </c>
      <c r="D16" s="2">
        <v>125400</v>
      </c>
      <c r="E16" s="7" t="s">
        <v>1145</v>
      </c>
    </row>
    <row r="17" spans="1:5">
      <c r="A17" s="7" t="s">
        <v>228</v>
      </c>
      <c r="B17" t="s">
        <v>1146</v>
      </c>
      <c r="C17" s="4">
        <v>45903</v>
      </c>
      <c r="D17" s="2">
        <v>162960</v>
      </c>
      <c r="E17" t="s">
        <v>1146</v>
      </c>
    </row>
    <row r="18" spans="1:5">
      <c r="A18" s="7" t="s">
        <v>831</v>
      </c>
      <c r="B18" t="s">
        <v>1147</v>
      </c>
      <c r="C18" s="10">
        <v>45905</v>
      </c>
      <c r="D18" s="2">
        <v>257100</v>
      </c>
      <c r="E18" t="s">
        <v>1147</v>
      </c>
    </row>
    <row r="19" spans="1:5">
      <c r="A19" s="7" t="s">
        <v>831</v>
      </c>
      <c r="B19" t="s">
        <v>1147</v>
      </c>
      <c r="C19" s="4">
        <v>45905</v>
      </c>
      <c r="D19" s="2">
        <v>812750</v>
      </c>
      <c r="E19" t="s">
        <v>1147</v>
      </c>
    </row>
    <row r="20" spans="1:5">
      <c r="A20" s="7" t="s">
        <v>1148</v>
      </c>
      <c r="B20" t="s">
        <v>1149</v>
      </c>
      <c r="C20" s="4">
        <v>45924</v>
      </c>
      <c r="D20" s="2">
        <v>102400</v>
      </c>
      <c r="E20" t="s">
        <v>1149</v>
      </c>
    </row>
    <row r="21" spans="1:5">
      <c r="A21" s="7" t="s">
        <v>831</v>
      </c>
      <c r="B21" t="s">
        <v>1147</v>
      </c>
      <c r="C21" s="4">
        <v>45939</v>
      </c>
      <c r="D21" s="2">
        <v>1814663.75</v>
      </c>
      <c r="E21" t="s">
        <v>1147</v>
      </c>
    </row>
    <row r="22" spans="1:5">
      <c r="A22" s="7" t="s">
        <v>1150</v>
      </c>
      <c r="B22" t="s">
        <v>1151</v>
      </c>
      <c r="C22" s="4">
        <v>45944</v>
      </c>
      <c r="D22" s="2">
        <v>341200</v>
      </c>
      <c r="E22" t="s">
        <v>1151</v>
      </c>
    </row>
    <row r="23" spans="1:5">
      <c r="A23" s="7" t="s">
        <v>831</v>
      </c>
      <c r="B23" t="s">
        <v>1127</v>
      </c>
      <c r="C23" s="4">
        <v>45980</v>
      </c>
      <c r="D23" s="2">
        <v>890326.58</v>
      </c>
      <c r="E23" t="s">
        <v>1127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80"/>
  <sheetViews>
    <sheetView topLeftCell="A46" workbookViewId="0">
      <selection activeCell="E80" sqref="E80"/>
    </sheetView>
  </sheetViews>
  <sheetFormatPr defaultColWidth="9.16071428571429" defaultRowHeight="17.6" outlineLevelCol="5"/>
  <cols>
    <col min="2" max="2" width="10.7857142857143"/>
    <col min="3" max="3" width="12" customWidth="1"/>
    <col min="4" max="4" width="14.6607142857143" style="2" customWidth="1"/>
    <col min="5" max="5" width="17.3303571428571" customWidth="1"/>
    <col min="6" max="6" width="11.6607142857143"/>
  </cols>
  <sheetData>
    <row r="1" s="1" customFormat="1" spans="3:6">
      <c r="C1" s="1" t="s">
        <v>2</v>
      </c>
      <c r="D1" s="3" t="s">
        <v>3</v>
      </c>
      <c r="E1" s="1" t="s">
        <v>4</v>
      </c>
      <c r="F1" s="1" t="s">
        <v>1</v>
      </c>
    </row>
    <row r="2" spans="3:6">
      <c r="C2" s="4">
        <v>45688</v>
      </c>
      <c r="D2" s="2">
        <v>100</v>
      </c>
      <c r="E2" s="4">
        <v>45672</v>
      </c>
    </row>
    <row r="3" spans="3:6">
      <c r="C3" s="4">
        <v>45687</v>
      </c>
      <c r="D3" s="2">
        <v>200</v>
      </c>
      <c r="E3" s="4">
        <v>45672</v>
      </c>
    </row>
    <row r="4" spans="3:6">
      <c r="C4" s="4">
        <v>45679</v>
      </c>
      <c r="D4" s="2">
        <v>150</v>
      </c>
      <c r="E4" s="4">
        <v>45672</v>
      </c>
    </row>
    <row r="5" spans="3:6">
      <c r="C5" s="4">
        <v>45671</v>
      </c>
      <c r="D5" s="2">
        <v>250</v>
      </c>
      <c r="E5" s="4">
        <v>45672</v>
      </c>
    </row>
    <row r="6" spans="3:6">
      <c r="C6" s="4">
        <v>45684</v>
      </c>
      <c r="D6" s="2">
        <v>250</v>
      </c>
      <c r="E6" s="4">
        <v>45672</v>
      </c>
    </row>
    <row r="7" spans="3:6">
      <c r="C7" s="4">
        <v>45677</v>
      </c>
      <c r="D7" s="2">
        <v>150</v>
      </c>
      <c r="E7" s="4">
        <v>45672</v>
      </c>
    </row>
    <row r="8" spans="3:6">
      <c r="C8" s="4">
        <v>45685</v>
      </c>
      <c r="D8" s="2">
        <v>100</v>
      </c>
      <c r="E8" s="4">
        <v>45672</v>
      </c>
    </row>
    <row r="9" spans="3:6">
      <c r="C9" s="4">
        <v>45685</v>
      </c>
      <c r="D9" s="2">
        <v>1250</v>
      </c>
      <c r="E9" s="4">
        <v>45672</v>
      </c>
    </row>
    <row r="10" spans="3:6">
      <c r="C10" s="4">
        <v>45685</v>
      </c>
      <c r="D10" s="2">
        <v>250</v>
      </c>
      <c r="E10" s="4">
        <v>45672</v>
      </c>
    </row>
    <row r="11" spans="3:6">
      <c r="C11" s="4">
        <v>45670</v>
      </c>
      <c r="D11" s="2">
        <v>700</v>
      </c>
      <c r="E11" s="4">
        <v>45672</v>
      </c>
    </row>
    <row r="12" spans="3:6">
      <c r="C12" s="4">
        <v>45678</v>
      </c>
      <c r="D12" s="2">
        <v>250</v>
      </c>
      <c r="E12" s="4">
        <v>45672</v>
      </c>
    </row>
    <row r="13" spans="3:6">
      <c r="C13" s="4">
        <v>45681</v>
      </c>
      <c r="D13" s="2">
        <v>1000</v>
      </c>
      <c r="E13" s="4">
        <v>45672</v>
      </c>
    </row>
    <row r="14" spans="3:6">
      <c r="C14" s="4">
        <v>45672</v>
      </c>
      <c r="D14" s="2">
        <v>100</v>
      </c>
      <c r="E14" s="4">
        <v>45672</v>
      </c>
    </row>
    <row r="15" spans="3:6">
      <c r="C15" s="4">
        <v>45680</v>
      </c>
      <c r="D15" s="2">
        <v>100</v>
      </c>
      <c r="E15" s="4">
        <v>45672</v>
      </c>
    </row>
    <row r="16" spans="3:6">
      <c r="C16" s="4">
        <v>45688</v>
      </c>
      <c r="D16" s="2">
        <v>1500</v>
      </c>
      <c r="E16" s="4">
        <v>45672</v>
      </c>
    </row>
    <row r="17" spans="3:5">
      <c r="C17" s="4">
        <v>45688</v>
      </c>
      <c r="D17" s="2">
        <v>300</v>
      </c>
      <c r="E17" s="4">
        <v>45672</v>
      </c>
    </row>
    <row r="18" spans="3:5">
      <c r="C18" s="4">
        <v>45597</v>
      </c>
      <c r="D18" s="2">
        <v>666.67</v>
      </c>
      <c r="E18" s="4">
        <v>45611</v>
      </c>
    </row>
    <row r="19" spans="3:5">
      <c r="C19" s="4">
        <v>45598</v>
      </c>
      <c r="D19" s="2">
        <v>133.33</v>
      </c>
      <c r="E19" s="4">
        <v>45611</v>
      </c>
    </row>
    <row r="20" spans="3:5">
      <c r="C20" s="4">
        <v>45599</v>
      </c>
      <c r="D20" s="2">
        <v>250</v>
      </c>
      <c r="E20" s="4">
        <v>45611</v>
      </c>
    </row>
    <row r="21" spans="3:5">
      <c r="C21" s="4">
        <v>45600</v>
      </c>
      <c r="D21" s="2">
        <v>50</v>
      </c>
      <c r="E21" s="4">
        <v>45611</v>
      </c>
    </row>
    <row r="22" spans="3:5">
      <c r="C22" s="4">
        <v>45601</v>
      </c>
      <c r="D22" s="2">
        <v>50</v>
      </c>
      <c r="E22" s="4">
        <v>45611</v>
      </c>
    </row>
    <row r="23" spans="3:5">
      <c r="C23" s="4">
        <v>45602</v>
      </c>
      <c r="D23" s="2">
        <v>50</v>
      </c>
      <c r="E23" s="4">
        <v>45611</v>
      </c>
    </row>
    <row r="24" spans="3:5">
      <c r="C24" s="4">
        <v>45603</v>
      </c>
      <c r="D24" s="2">
        <v>350</v>
      </c>
      <c r="E24" s="4">
        <v>45611</v>
      </c>
    </row>
    <row r="25" spans="3:5">
      <c r="C25" s="4">
        <v>45604</v>
      </c>
      <c r="D25" s="2">
        <v>1500</v>
      </c>
      <c r="E25" s="4">
        <v>45611</v>
      </c>
    </row>
    <row r="26" spans="3:5">
      <c r="C26" s="4">
        <v>45605</v>
      </c>
      <c r="D26" s="2">
        <v>300</v>
      </c>
      <c r="E26" s="4">
        <v>45611</v>
      </c>
    </row>
    <row r="27" spans="3:5">
      <c r="C27" s="4">
        <v>45634</v>
      </c>
      <c r="D27" s="2">
        <v>100</v>
      </c>
      <c r="E27" s="4">
        <v>45641</v>
      </c>
    </row>
    <row r="28" spans="3:5">
      <c r="C28" s="4">
        <v>45635</v>
      </c>
      <c r="D28" s="2">
        <v>50</v>
      </c>
      <c r="E28" s="4">
        <v>45641</v>
      </c>
    </row>
    <row r="29" spans="3:5">
      <c r="C29" s="4">
        <v>45636</v>
      </c>
      <c r="D29" s="2">
        <v>450</v>
      </c>
      <c r="E29" s="4">
        <v>45641</v>
      </c>
    </row>
    <row r="30" spans="3:5">
      <c r="C30" s="4">
        <v>45637</v>
      </c>
      <c r="D30" s="2">
        <v>100</v>
      </c>
      <c r="E30" s="4">
        <v>45641</v>
      </c>
    </row>
    <row r="31" spans="3:5">
      <c r="C31" s="4">
        <v>45638</v>
      </c>
      <c r="D31" s="2">
        <v>150</v>
      </c>
      <c r="E31" s="4">
        <v>45641</v>
      </c>
    </row>
    <row r="32" spans="3:5">
      <c r="C32" s="4">
        <v>45639</v>
      </c>
      <c r="D32" s="2">
        <v>100</v>
      </c>
      <c r="E32" s="4">
        <v>45641</v>
      </c>
    </row>
    <row r="33" spans="3:5">
      <c r="C33" s="4">
        <v>45640</v>
      </c>
      <c r="D33" s="2">
        <v>550</v>
      </c>
      <c r="E33" s="4">
        <v>45641</v>
      </c>
    </row>
    <row r="34" spans="3:5">
      <c r="C34" s="4">
        <v>45641</v>
      </c>
      <c r="D34" s="2">
        <v>50</v>
      </c>
      <c r="E34" s="4">
        <v>45641</v>
      </c>
    </row>
    <row r="35" spans="3:5">
      <c r="C35" s="4">
        <v>45642</v>
      </c>
      <c r="D35" s="2">
        <v>100</v>
      </c>
      <c r="E35" s="4">
        <v>45641</v>
      </c>
    </row>
    <row r="36" spans="3:5">
      <c r="C36" s="4">
        <v>45643</v>
      </c>
      <c r="D36" s="2">
        <v>750</v>
      </c>
      <c r="E36" s="4">
        <v>45641</v>
      </c>
    </row>
    <row r="37" spans="3:5">
      <c r="C37" s="4">
        <v>45644</v>
      </c>
      <c r="D37" s="2">
        <v>50</v>
      </c>
      <c r="E37" s="4">
        <v>45641</v>
      </c>
    </row>
    <row r="38" spans="3:5">
      <c r="C38" s="4">
        <v>45645</v>
      </c>
      <c r="D38" s="2">
        <v>1500</v>
      </c>
      <c r="E38" s="4">
        <v>45641</v>
      </c>
    </row>
    <row r="39" spans="3:5">
      <c r="C39" s="4">
        <v>45646</v>
      </c>
      <c r="D39" s="2">
        <v>300</v>
      </c>
      <c r="E39" s="4">
        <v>45641</v>
      </c>
    </row>
    <row r="40" spans="3:5">
      <c r="C40" s="4">
        <v>45708</v>
      </c>
      <c r="D40" s="2">
        <v>150</v>
      </c>
      <c r="E40" s="4">
        <v>45703</v>
      </c>
    </row>
    <row r="41" spans="3:5">
      <c r="C41" s="4">
        <v>45709</v>
      </c>
      <c r="D41" s="2">
        <v>100</v>
      </c>
      <c r="E41" s="4">
        <v>45703</v>
      </c>
    </row>
    <row r="42" spans="3:5">
      <c r="C42" s="4">
        <v>45710</v>
      </c>
      <c r="D42" s="2">
        <v>50</v>
      </c>
      <c r="E42" s="4">
        <v>45703</v>
      </c>
    </row>
    <row r="43" spans="3:5">
      <c r="C43" s="4">
        <v>45711</v>
      </c>
      <c r="D43" s="2">
        <v>200</v>
      </c>
      <c r="E43" s="4">
        <v>45703</v>
      </c>
    </row>
    <row r="44" spans="3:5">
      <c r="C44" s="4">
        <v>45712</v>
      </c>
      <c r="D44" s="2">
        <v>150</v>
      </c>
      <c r="E44" s="4">
        <v>45703</v>
      </c>
    </row>
    <row r="45" spans="3:5">
      <c r="C45" s="4">
        <v>45713</v>
      </c>
      <c r="D45" s="2">
        <v>950</v>
      </c>
      <c r="E45" s="4">
        <v>45703</v>
      </c>
    </row>
    <row r="46" spans="3:5">
      <c r="C46" s="4">
        <v>45714</v>
      </c>
      <c r="D46" s="2">
        <v>150</v>
      </c>
      <c r="E46" s="4">
        <v>45703</v>
      </c>
    </row>
    <row r="47" spans="3:5">
      <c r="C47" s="4">
        <v>45715</v>
      </c>
      <c r="D47" s="2">
        <v>150</v>
      </c>
      <c r="E47" s="4">
        <v>45703</v>
      </c>
    </row>
    <row r="48" spans="3:5">
      <c r="C48" s="4">
        <v>45716</v>
      </c>
      <c r="D48" s="2">
        <v>400</v>
      </c>
      <c r="E48" s="4">
        <v>45703</v>
      </c>
    </row>
    <row r="49" spans="3:6">
      <c r="C49" s="4">
        <v>45708</v>
      </c>
      <c r="D49" s="2">
        <v>50</v>
      </c>
      <c r="E49" s="4">
        <v>45703</v>
      </c>
    </row>
    <row r="50" spans="3:6">
      <c r="C50" s="4">
        <v>45709</v>
      </c>
      <c r="D50" s="2">
        <v>7000</v>
      </c>
      <c r="E50" s="4">
        <v>45703</v>
      </c>
    </row>
    <row r="51" spans="3:6">
      <c r="C51" s="4">
        <v>45710</v>
      </c>
      <c r="D51" s="2">
        <v>50</v>
      </c>
      <c r="E51" s="4">
        <v>45703</v>
      </c>
    </row>
    <row r="52" spans="3:6">
      <c r="C52" s="4">
        <v>45711</v>
      </c>
      <c r="D52" s="2">
        <v>300</v>
      </c>
      <c r="E52" s="4">
        <v>45703</v>
      </c>
    </row>
    <row r="53" spans="3:6">
      <c r="C53" s="4">
        <v>45712</v>
      </c>
      <c r="D53" s="2">
        <v>1450</v>
      </c>
      <c r="E53" s="4">
        <v>45703</v>
      </c>
    </row>
    <row r="54" spans="3:6">
      <c r="C54" s="4">
        <v>45713</v>
      </c>
      <c r="D54" s="2">
        <v>200</v>
      </c>
      <c r="E54" s="4">
        <v>45703</v>
      </c>
    </row>
    <row r="55" spans="3:6">
      <c r="C55" s="4">
        <v>45714</v>
      </c>
      <c r="D55" s="2">
        <v>3000</v>
      </c>
      <c r="E55" s="4">
        <v>45703</v>
      </c>
    </row>
    <row r="56" spans="3:6">
      <c r="C56" s="4">
        <v>45715</v>
      </c>
      <c r="D56" s="2">
        <v>50</v>
      </c>
      <c r="E56" s="4">
        <v>45703</v>
      </c>
    </row>
    <row r="57" spans="3:6">
      <c r="C57" s="4">
        <v>45716</v>
      </c>
      <c r="D57" s="2">
        <v>1500</v>
      </c>
      <c r="E57" s="4">
        <v>45703</v>
      </c>
    </row>
    <row r="58" spans="3:6">
      <c r="C58" s="4">
        <v>45716</v>
      </c>
      <c r="D58" s="2">
        <v>300</v>
      </c>
      <c r="E58" s="4">
        <v>45703</v>
      </c>
    </row>
    <row r="59" spans="3:6">
      <c r="C59" s="4">
        <v>45747</v>
      </c>
      <c r="D59" s="2">
        <v>18100</v>
      </c>
      <c r="E59" s="4">
        <v>45731</v>
      </c>
    </row>
    <row r="60" spans="3:6">
      <c r="C60" s="4">
        <v>45772</v>
      </c>
      <c r="D60" s="2">
        <v>637.33</v>
      </c>
      <c r="E60" s="4">
        <v>45762</v>
      </c>
      <c r="F60" t="s">
        <v>368</v>
      </c>
    </row>
    <row r="61" spans="3:6">
      <c r="C61" s="4">
        <v>45772</v>
      </c>
      <c r="D61" s="2">
        <v>3186.6</v>
      </c>
      <c r="E61" s="4">
        <v>45762</v>
      </c>
      <c r="F61" t="s">
        <v>368</v>
      </c>
    </row>
    <row r="62" spans="3:6">
      <c r="C62" s="4">
        <v>45772</v>
      </c>
      <c r="D62" s="2">
        <v>5606.6</v>
      </c>
      <c r="E62" s="4">
        <v>45762</v>
      </c>
      <c r="F62" t="s">
        <v>368</v>
      </c>
    </row>
    <row r="63" spans="3:6">
      <c r="C63" s="4">
        <v>45771</v>
      </c>
      <c r="D63" s="2">
        <v>882.74</v>
      </c>
      <c r="E63" s="4">
        <v>45762</v>
      </c>
      <c r="F63" t="s">
        <v>368</v>
      </c>
    </row>
    <row r="64" spans="3:6">
      <c r="C64" s="4">
        <v>45771</v>
      </c>
      <c r="D64" s="2">
        <v>4561.72</v>
      </c>
      <c r="E64" s="4">
        <v>45762</v>
      </c>
      <c r="F64" t="s">
        <v>368</v>
      </c>
    </row>
    <row r="65" spans="3:6">
      <c r="C65" s="4">
        <v>45770</v>
      </c>
      <c r="D65" s="2">
        <v>50</v>
      </c>
      <c r="E65" s="4">
        <v>45762</v>
      </c>
      <c r="F65" t="s">
        <v>1152</v>
      </c>
    </row>
    <row r="66" spans="3:6">
      <c r="C66" s="4">
        <v>45769</v>
      </c>
      <c r="D66" s="2">
        <v>6000</v>
      </c>
      <c r="E66" s="4">
        <v>45762</v>
      </c>
      <c r="F66" t="s">
        <v>368</v>
      </c>
    </row>
    <row r="67" spans="3:6">
      <c r="C67" s="4">
        <v>45763</v>
      </c>
      <c r="D67" s="2">
        <v>50</v>
      </c>
      <c r="E67" s="4">
        <v>45762</v>
      </c>
      <c r="F67" t="s">
        <v>1152</v>
      </c>
    </row>
    <row r="68" spans="3:6">
      <c r="C68" s="4">
        <v>45762</v>
      </c>
      <c r="D68" s="2">
        <v>100</v>
      </c>
      <c r="E68" s="4">
        <v>45762</v>
      </c>
      <c r="F68" t="s">
        <v>1152</v>
      </c>
    </row>
    <row r="69" spans="3:6">
      <c r="C69" s="4">
        <v>45757</v>
      </c>
      <c r="D69" s="2">
        <v>1600</v>
      </c>
      <c r="E69" s="4">
        <v>45762</v>
      </c>
      <c r="F69" t="s">
        <v>1152</v>
      </c>
    </row>
    <row r="70" spans="3:6">
      <c r="C70" s="4">
        <v>45755</v>
      </c>
      <c r="D70" s="2">
        <v>200</v>
      </c>
      <c r="E70" s="4">
        <v>45762</v>
      </c>
      <c r="F70" t="s">
        <v>1152</v>
      </c>
    </row>
    <row r="71" spans="3:6">
      <c r="C71" s="4">
        <v>45751</v>
      </c>
      <c r="D71" s="2">
        <v>100</v>
      </c>
      <c r="E71" s="4">
        <v>45762</v>
      </c>
      <c r="F71" t="s">
        <v>1152</v>
      </c>
    </row>
    <row r="72" spans="3:6">
      <c r="C72" s="4">
        <v>45777</v>
      </c>
      <c r="D72" s="2">
        <v>6700</v>
      </c>
      <c r="E72" s="4">
        <v>45762</v>
      </c>
      <c r="F72" t="s">
        <v>1152</v>
      </c>
    </row>
    <row r="73" spans="3:6">
      <c r="C73" s="4">
        <v>45808</v>
      </c>
      <c r="D73" s="2">
        <v>84712.21</v>
      </c>
      <c r="E73" s="4">
        <v>45808</v>
      </c>
      <c r="F73" t="s">
        <v>368</v>
      </c>
    </row>
    <row r="74" spans="3:6">
      <c r="C74" s="4">
        <v>45838</v>
      </c>
      <c r="D74" s="2">
        <v>80669.74</v>
      </c>
      <c r="E74" s="4">
        <v>45838</v>
      </c>
      <c r="F74" t="s">
        <v>368</v>
      </c>
    </row>
    <row r="75" spans="3:6">
      <c r="C75" s="4">
        <v>45839</v>
      </c>
      <c r="D75" s="2">
        <v>103124.46</v>
      </c>
      <c r="E75" s="4">
        <v>45839</v>
      </c>
      <c r="F75" t="s">
        <v>368</v>
      </c>
    </row>
    <row r="76" spans="3:6">
      <c r="C76" s="4">
        <v>45870</v>
      </c>
      <c r="D76" s="2">
        <v>80648.62</v>
      </c>
      <c r="E76" s="4">
        <v>45870</v>
      </c>
      <c r="F76" t="s">
        <v>368</v>
      </c>
    </row>
    <row r="77" spans="3:6">
      <c r="C77" s="4">
        <v>45901</v>
      </c>
      <c r="D77" s="2">
        <v>64729.65</v>
      </c>
      <c r="E77" s="4">
        <v>45901</v>
      </c>
      <c r="F77" t="s">
        <v>368</v>
      </c>
    </row>
    <row r="78" spans="3:6">
      <c r="C78" s="4">
        <v>45931</v>
      </c>
      <c r="D78" s="5">
        <v>60203.5</v>
      </c>
      <c r="E78" s="4">
        <v>45931</v>
      </c>
      <c r="F78" t="s">
        <v>1153</v>
      </c>
    </row>
    <row r="79" spans="3:6">
      <c r="C79" s="6">
        <v>45962</v>
      </c>
      <c r="D79" s="5">
        <v>23222.93</v>
      </c>
      <c r="E79" s="6">
        <v>45962</v>
      </c>
      <c r="F79" t="s">
        <v>1153</v>
      </c>
    </row>
    <row r="80" spans="3:6">
      <c r="C80" s="6">
        <v>45992</v>
      </c>
      <c r="D80" s="2">
        <v>92505.8</v>
      </c>
      <c r="F80" t="s">
        <v>1153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其他支出</vt:lpstr>
      <vt:lpstr>预制桩</vt:lpstr>
      <vt:lpstr>大宗混凝土</vt:lpstr>
      <vt:lpstr>桩基分包</vt:lpstr>
      <vt:lpstr>大宗钢材</vt:lpstr>
      <vt:lpstr>预制柱</vt:lpstr>
      <vt:lpstr>土建分包</vt:lpstr>
      <vt:lpstr>临设板房</vt:lpstr>
      <vt:lpstr>外籍薪酬</vt:lpstr>
      <vt:lpstr>大宗道路板</vt:lpstr>
      <vt:lpstr>购置车辆</vt:lpstr>
      <vt:lpstr>房屋租赁</vt:lpstr>
      <vt:lpstr>车辆通勤</vt:lpstr>
      <vt:lpstr>材料类支出</vt:lpstr>
      <vt:lpstr>增值税</vt:lpstr>
      <vt:lpstr>自检组织</vt:lpstr>
      <vt:lpstr>机械台班</vt:lpstr>
      <vt:lpstr>工作签证</vt:lpstr>
      <vt:lpstr>施工分包</vt:lpstr>
      <vt:lpstr>外籍劳务</vt:lpstr>
      <vt:lpstr>大宗地脚螺栓</vt:lpstr>
      <vt:lpstr>桩基测试</vt:lpstr>
      <vt:lpstr>预制井</vt:lpstr>
      <vt:lpstr>发电机</vt:lpstr>
      <vt:lpstr>预制场租赁</vt:lpstr>
      <vt:lpstr>海关费用</vt:lpstr>
      <vt:lpstr>低耗品</vt:lpstr>
      <vt:lpstr>大宗砂石</vt:lpstr>
      <vt:lpstr>打卡工资</vt:lpstr>
      <vt:lpstr>止水套管</vt:lpstr>
      <vt:lpstr>检测测量</vt:lpstr>
      <vt:lpstr>钢板桩分包</vt:lpstr>
      <vt:lpstr>培训费</vt:lpstr>
      <vt:lpstr>财务费用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大漠孤烟</cp:lastModifiedBy>
  <dcterms:created xsi:type="dcterms:W3CDTF">2016-12-31T02:54:00Z</dcterms:created>
  <dcterms:modified xsi:type="dcterms:W3CDTF">2026-01-07T11:27:19Z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981E058D8F8140BCB89F759D596D1AF9_13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