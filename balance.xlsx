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<sst xmlns="http://schemas.openxmlformats.org/spreadsheetml/2006/main" count="78" uniqueCount="34">
  <si>
    <t>FCC项目银行余额（截至2026/03/31）</t>
  </si>
  <si>
    <t>开户行</t>
  </si>
  <si>
    <t>账号信息</t>
  </si>
  <si>
    <t>币种</t>
  </si>
  <si>
    <t>当前卢布余额</t>
  </si>
  <si>
    <t>当前人民币余额</t>
  </si>
  <si>
    <t>0331汇率</t>
  </si>
  <si>
    <t>折合人民币</t>
  </si>
  <si>
    <t>中化学六公司图拉分公司惠生工程卢克石油198万吨/年FCC综合体项目部</t>
  </si>
  <si>
    <t>俄罗斯ICBC银行</t>
  </si>
  <si>
    <t>4080 7810 9000 0000 0877</t>
  </si>
  <si>
    <t>卢布</t>
  </si>
  <si>
    <t>————</t>
  </si>
  <si>
    <t>中化学六公司图拉分公司惠生工程卢克石油199万吨/年FCC综合体项目部</t>
  </si>
  <si>
    <t>4080 7156 8000 0000 0877</t>
  </si>
  <si>
    <t>人民币</t>
  </si>
  <si>
    <t>4080 7840 2000 0000 0877</t>
  </si>
  <si>
    <t>美元</t>
  </si>
  <si>
    <t>中化学六公司图拉分公司惠生工程卢克石油200万吨/年FCC综合体项目部</t>
  </si>
  <si>
    <t>俄罗斯VTB银行</t>
  </si>
  <si>
    <t>4080 7810 7048 0000 0076</t>
  </si>
  <si>
    <t>4080 7156 2048 0000 0036</t>
  </si>
  <si>
    <t>ООО "НЕФТЕХИМИЧЕСКОЕ ИНЖЕНЕРНОЕ СТРОИТЕЛЬСТВО"</t>
  </si>
  <si>
    <t>4070 2810 5008 1004 8224</t>
  </si>
  <si>
    <t>4070 2156 0189 0000 0124</t>
  </si>
  <si>
    <t>六公司资金管理中心-内部活期户</t>
  </si>
  <si>
    <t>XZ008727TLH0002</t>
  </si>
  <si>
    <t>中化学六公司图拉分公司惠生工程卢克石油201万吨/年FCC综合体项目部</t>
  </si>
  <si>
    <t>六公司资金管理中心-内部资金调剂</t>
  </si>
  <si>
    <t>XZ008727TLZT0002</t>
  </si>
  <si>
    <t>中化学六公司图拉分公司惠生工程卢克石油202万吨/年FCC综合体项目部</t>
  </si>
  <si>
    <t>六公司资金管理中心-资金专户</t>
  </si>
  <si>
    <t>XZ008727TLZ0002</t>
  </si>
  <si>
    <t>合     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</si>
</sst>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_ * #,##0.0000_ ;_ * \-#,##0.0000_ ;_ * &quot;-&quot;??.00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49" fontId="0" fillId="0" borderId="0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E20" sqref="E20"/>
    </sheetView>
  </sheetViews>
  <sheetFormatPr defaultColWidth="9.16346153846154" defaultRowHeight="16.8" outlineLevelCol="7"/>
  <cols>
    <col min="1" max="1" width="69.1634615384615" customWidth="1"/>
    <col min="2" max="2" width="35.3076923076923" customWidth="1"/>
    <col min="3" max="3" width="23.1634615384615" style="1" customWidth="1"/>
    <col min="4" max="4" width="8.16346153846154" style="1" customWidth="1"/>
    <col min="5" max="5" width="20.7115384615385" style="2" customWidth="1"/>
    <col min="6" max="6" width="18.8365384615385" customWidth="1"/>
    <col min="7" max="7" width="11.7403846153846" customWidth="1"/>
    <col min="8" max="8" width="18.4807692307692" style="2" customWidth="1"/>
  </cols>
  <sheetData>
    <row r="1" s="1" customFormat="1" spans="1:8">
      <c r="A1" s="3" t="s">
        <v>0</v>
      </c>
      <c r="B1" s="1" t="s">
        <v>1</v>
      </c>
      <c r="C1" s="4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t="s">
        <v>9</v>
      </c>
      <c r="C2" s="6" t="s">
        <v>10</v>
      </c>
      <c r="D2" s="1" t="s">
        <v>11</v>
      </c>
      <c r="E2" s="2">
        <v>75328282.1</v>
      </c>
      <c r="F2" s="5" t="s">
        <v>12</v>
      </c>
      <c r="G2" s="7">
        <v>11.7439</v>
      </c>
      <c r="H2" s="5">
        <f t="shared" ref="H2:H7" si="0">ROUND(E2/G2,2)</f>
        <v>6414247.58</v>
      </c>
    </row>
    <row r="3" spans="1:8">
      <c r="A3" t="s">
        <v>13</v>
      </c>
      <c r="B3" t="s">
        <v>9</v>
      </c>
      <c r="C3" s="8" t="s">
        <v>14</v>
      </c>
      <c r="D3" s="1" t="s">
        <v>15</v>
      </c>
      <c r="E3" s="5" t="s">
        <v>12</v>
      </c>
      <c r="F3" s="5">
        <v>241959.32</v>
      </c>
      <c r="G3" s="5" t="s">
        <v>12</v>
      </c>
      <c r="H3" s="5">
        <f>F3</f>
        <v>241959.32</v>
      </c>
    </row>
    <row r="4" spans="1:8">
      <c r="A4" t="s">
        <v>13</v>
      </c>
      <c r="B4" t="s">
        <v>9</v>
      </c>
      <c r="C4" s="6" t="s">
        <v>16</v>
      </c>
      <c r="D4" s="1" t="s">
        <v>17</v>
      </c>
      <c r="E4" s="5" t="s">
        <v>12</v>
      </c>
      <c r="F4" s="5" t="s">
        <v>12</v>
      </c>
      <c r="G4" s="5" t="s">
        <v>12</v>
      </c>
      <c r="H4" s="5" t="s">
        <v>12</v>
      </c>
    </row>
    <row r="5" spans="1:8">
      <c r="A5" t="s">
        <v>18</v>
      </c>
      <c r="B5" t="s">
        <v>19</v>
      </c>
      <c r="C5" s="4" t="s">
        <v>20</v>
      </c>
      <c r="D5" s="1" t="s">
        <v>11</v>
      </c>
      <c r="E5" s="2">
        <v>992489452.5</v>
      </c>
      <c r="F5" s="5" t="s">
        <v>12</v>
      </c>
      <c r="G5" s="7">
        <v>11.7439</v>
      </c>
      <c r="H5" s="5">
        <f t="shared" si="0"/>
        <v>84511061.27</v>
      </c>
    </row>
    <row r="6" spans="1:8">
      <c r="A6" t="s">
        <v>18</v>
      </c>
      <c r="B6" t="s">
        <v>19</v>
      </c>
      <c r="C6" s="4" t="s">
        <v>21</v>
      </c>
      <c r="D6" s="1" t="s">
        <v>15</v>
      </c>
      <c r="E6" s="5" t="s">
        <v>12</v>
      </c>
      <c r="F6" s="2">
        <v>19550628.3</v>
      </c>
      <c r="G6" s="5" t="s">
        <v>12</v>
      </c>
      <c r="H6" s="5">
        <f>F6</f>
        <v>19550628.3</v>
      </c>
    </row>
    <row r="7" spans="1:8">
      <c r="A7" t="s">
        <v>22</v>
      </c>
      <c r="B7" t="s">
        <v>19</v>
      </c>
      <c r="C7" s="4" t="s">
        <v>23</v>
      </c>
      <c r="D7" s="1" t="s">
        <v>11</v>
      </c>
      <c r="E7" s="5">
        <v>2374031</v>
      </c>
      <c r="F7" s="5" t="s">
        <v>12</v>
      </c>
      <c r="G7" s="7">
        <v>11.7439</v>
      </c>
      <c r="H7" s="5">
        <f t="shared" si="0"/>
        <v>202150.14</v>
      </c>
    </row>
    <row r="8" spans="1:8">
      <c r="A8" t="s">
        <v>22</v>
      </c>
      <c r="B8" t="s">
        <v>19</v>
      </c>
      <c r="C8" s="4" t="s">
        <v>24</v>
      </c>
      <c r="D8" s="1" t="s">
        <v>15</v>
      </c>
      <c r="E8" s="5" t="s">
        <v>12</v>
      </c>
      <c r="F8" s="5" t="s">
        <v>12</v>
      </c>
      <c r="G8" s="5" t="s">
        <v>12</v>
      </c>
      <c r="H8" s="5" t="s">
        <v>12</v>
      </c>
    </row>
    <row r="9" spans="1:8">
      <c r="A9" t="s">
        <v>18</v>
      </c>
      <c r="B9" t="s">
        <v>25</v>
      </c>
      <c r="C9" s="4" t="s">
        <v>26</v>
      </c>
      <c r="D9" s="1" t="s">
        <v>15</v>
      </c>
      <c r="E9" s="5" t="s">
        <v>12</v>
      </c>
      <c r="F9" s="5">
        <v>89363.93</v>
      </c>
      <c r="G9" s="5" t="s">
        <v>12</v>
      </c>
      <c r="H9" s="5">
        <f>F9</f>
        <v>89363.93</v>
      </c>
    </row>
    <row r="10" spans="1:8">
      <c r="A10" t="s">
        <v>27</v>
      </c>
      <c r="B10" t="s">
        <v>28</v>
      </c>
      <c r="C10" s="4" t="s">
        <v>29</v>
      </c>
      <c r="D10" s="1" t="s">
        <v>15</v>
      </c>
      <c r="E10" s="5" t="s">
        <v>12</v>
      </c>
      <c r="F10" s="5" t="s">
        <v>12</v>
      </c>
      <c r="G10" s="5" t="s">
        <v>12</v>
      </c>
      <c r="H10" s="5" t="s">
        <v>12</v>
      </c>
    </row>
    <row r="11" spans="1:8">
      <c r="A11" t="s">
        <v>30</v>
      </c>
      <c r="B11" t="s">
        <v>31</v>
      </c>
      <c r="C11" s="4" t="s">
        <v>32</v>
      </c>
      <c r="D11" s="1" t="s">
        <v>15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>
      <c r="A12" s="1" t="s">
        <v>33</v>
      </c>
      <c r="B12" s="5" t="s">
        <v>12</v>
      </c>
      <c r="C12" s="5" t="s">
        <v>12</v>
      </c>
      <c r="D12" s="5" t="s">
        <v>12</v>
      </c>
      <c r="E12" s="2">
        <f t="shared" ref="E12:H12" si="1">ROUND(SUM(E2:E11),2)</f>
        <v>1070191765.6</v>
      </c>
      <c r="F12" s="2">
        <f t="shared" si="1"/>
        <v>19881951.55</v>
      </c>
      <c r="G12" s="5" t="s">
        <v>12</v>
      </c>
      <c r="H12" s="2">
        <f t="shared" si="1"/>
        <v>111009410.54</v>
      </c>
    </row>
  </sheetData>
  <pageMargins left="0.75" right="0.75" top="1" bottom="1" header="0.5" footer="0.5"/>
  <headerFooter/>
  <ignoredErrors>
    <ignoredError sqref="H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大漠孤烟</cp:lastModifiedBy>
  <dcterms:created xsi:type="dcterms:W3CDTF">2025-05-01T11:33:00Z</dcterms:created>
  <dcterms:modified xsi:type="dcterms:W3CDTF">2026-04-25T14:16:25Z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10DA6971E6544595B9DDBD1E0F721F62_13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