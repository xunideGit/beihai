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13_ncr:1_{2F9ECADB-63C2-354A-907A-E3828BD4579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2" r:id="rId1"/>
  </sheets>
  <definedNames>
    <definedName name="_xlnm._FilterDatabase" localSheetId="0" hidden="1">Sheet1!$A$1:$N$95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3" i="2" l="1"/>
  <c r="U49" i="2"/>
  <c r="U3" i="2"/>
  <c r="T2" i="2"/>
  <c r="R90" i="2"/>
  <c r="Q90" i="2"/>
  <c r="M77" i="2"/>
  <c r="J77" i="2"/>
  <c r="N49" i="2"/>
  <c r="O47" i="2"/>
  <c r="N41" i="2"/>
  <c r="O37" i="2"/>
  <c r="O30" i="2"/>
  <c r="M30" i="2"/>
  <c r="L30" i="2"/>
  <c r="K30" i="2"/>
  <c r="O10" i="2"/>
  <c r="Q4" i="2"/>
</calcChain>
</file>

<file path=xl/sharedStrings.xml><?xml version="1.0" encoding="utf-8"?>
<sst xmlns="http://schemas.openxmlformats.org/spreadsheetml/2006/main" count="116" uniqueCount="116">
  <si>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</si>
  <si>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</si>
  <si>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</si>
  <si>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</si>
  <si>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</si>
  <si>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</si>
  <si>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</si>
  <si>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</si>
  <si>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</si>
  <si>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</si>
  <si>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</si>
  <si>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</si>
  <si>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</si>
  <si>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</si>
  <si>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</si>
  <si>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</si>
  <si>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</si>
  <si>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>2026/04</t>
  </si>
  <si>
    <t>2026/05</t>
  </si>
  <si>
    <t>2026/06</t>
  </si>
  <si>
    <t>收款收入</t>
  </si>
  <si>
    <t>利息收入</t>
  </si>
  <si>
    <t>中国籍职工薪酬支出</t>
  </si>
  <si>
    <t>中国籍职工国内薪酬支出</t>
  </si>
  <si>
    <t>俄籍职工薪酬支出</t>
  </si>
  <si>
    <t>劳务分包（中亚小工）支出</t>
  </si>
  <si>
    <t>项目信息牌支出</t>
  </si>
  <si>
    <t>清洁费支出</t>
  </si>
  <si>
    <t>办公用品支出</t>
  </si>
  <si>
    <t>办公家具支出</t>
  </si>
  <si>
    <t>低值易耗品支出</t>
  </si>
  <si>
    <t>市内交通费支出</t>
  </si>
  <si>
    <t>桶装水支出</t>
  </si>
  <si>
    <t>车辆费用支出</t>
  </si>
  <si>
    <t>车辆维修费支出</t>
  </si>
  <si>
    <t>培训费支出</t>
  </si>
  <si>
    <t>焊工考试费支出</t>
  </si>
  <si>
    <t>房屋租赁支出</t>
  </si>
  <si>
    <t>车辆租赁支出</t>
  </si>
  <si>
    <t>水电费支出</t>
  </si>
  <si>
    <t>网络招聘服务费支出</t>
  </si>
  <si>
    <t>网站注册费支出</t>
  </si>
  <si>
    <t>会员费（自检组织）支出</t>
  </si>
  <si>
    <t>宽带费支出</t>
  </si>
  <si>
    <t>软件服务费支出</t>
  </si>
  <si>
    <t>软件费（1C）支出</t>
  </si>
  <si>
    <t>国内工作服支出</t>
  </si>
  <si>
    <t>人员动迁支出</t>
  </si>
  <si>
    <t>保险费支出</t>
  </si>
  <si>
    <t>签证费支出</t>
  </si>
  <si>
    <t>工作许可、国税登记支出</t>
  </si>
  <si>
    <t>配额费支出</t>
  </si>
  <si>
    <t>翻译公证费支出</t>
  </si>
  <si>
    <t>体检费支出</t>
  </si>
  <si>
    <t>食堂炊具支出</t>
  </si>
  <si>
    <t>地毯赔偿款支出</t>
  </si>
  <si>
    <t>海关费用支出</t>
  </si>
  <si>
    <t>工人餐费支出</t>
  </si>
  <si>
    <t>其他支出</t>
  </si>
  <si>
    <t>财务费用支出</t>
  </si>
  <si>
    <t>增值税支出</t>
  </si>
  <si>
    <t>图拉液压支出</t>
  </si>
  <si>
    <t>预制桩支出</t>
  </si>
  <si>
    <t>土建分包支出</t>
  </si>
  <si>
    <t>钢板桩分包支出</t>
  </si>
  <si>
    <t>国内分包支出</t>
  </si>
  <si>
    <t>大件吊装支出</t>
  </si>
  <si>
    <t>其他材料支出</t>
  </si>
  <si>
    <t>五金材料支出</t>
  </si>
  <si>
    <t>土建工机具支出</t>
  </si>
  <si>
    <t>电气材料支出</t>
  </si>
  <si>
    <t>混凝土支出</t>
  </si>
  <si>
    <t>电缆支出</t>
  </si>
  <si>
    <t>砂石支出</t>
  </si>
  <si>
    <t>劳保用品支出</t>
  </si>
  <si>
    <t>柴油支出</t>
  </si>
  <si>
    <t>钢材支出</t>
  </si>
  <si>
    <t>道路板支出</t>
  </si>
  <si>
    <t>地脚螺栓支出</t>
  </si>
  <si>
    <t>预制井支出</t>
  </si>
  <si>
    <t>预制柱支出</t>
  </si>
  <si>
    <t>预制水封井支出</t>
  </si>
  <si>
    <t>钢筋网片支出</t>
  </si>
  <si>
    <t>架子管支出</t>
  </si>
  <si>
    <t>模板支出</t>
  </si>
  <si>
    <t>止水套管支出</t>
  </si>
  <si>
    <t>油漆支出</t>
  </si>
  <si>
    <t>检测材料支出</t>
  </si>
  <si>
    <t>台班支出</t>
  </si>
  <si>
    <t>固定资产支出</t>
  </si>
  <si>
    <t>二手集装箱支出</t>
  </si>
  <si>
    <t>购置发电机支出</t>
  </si>
  <si>
    <t>安措费支出</t>
  </si>
  <si>
    <t>租赁费支出</t>
  </si>
  <si>
    <t>运输费支出</t>
  </si>
  <si>
    <t>桩基测试支出</t>
  </si>
  <si>
    <t>点位测量支出</t>
  </si>
  <si>
    <t>现场临时设施支出</t>
  </si>
  <si>
    <t>预制场租赁支出</t>
  </si>
  <si>
    <t>现场资质支出</t>
  </si>
  <si>
    <t>集装箱板房支出</t>
  </si>
  <si>
    <t>临时厕所支出</t>
  </si>
  <si>
    <t>押金支出</t>
  </si>
  <si>
    <t>公司借记卡支出</t>
  </si>
  <si>
    <t>备用金支出</t>
  </si>
  <si>
    <t>还款支出</t>
  </si>
  <si>
    <t>垫付CM支出</t>
  </si>
  <si>
    <t>汇兑损益支出</t>
  </si>
  <si>
    <t>罚款支出</t>
  </si>
  <si>
    <t>垫付НИС支出</t>
  </si>
  <si>
    <t>咨询费支出</t>
  </si>
  <si>
    <t>利息支出</t>
  </si>
  <si>
    <t>垫付Столовая支出</t>
  </si>
  <si>
    <t>资金调拨支出</t>
  </si>
  <si>
    <t>2026/07</t>
  </si>
  <si>
    <t>2026/08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</si>
</sst>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 * #,##0.00_ ;_ * \-#,##0.00_ ;_ * &quot;-&quot;??_ ;_ @_ "/>
    <numFmt numFmtId="165" formatCode="&quot;$&quot;#,##0;[Red]\-&quot;$&quot;#,##0"/>
    <numFmt numFmtId="166" formatCode="yyyy&quot;年&quot;m&quot;月&quot;;@"/>
    <numFmt numFmtId="167" formatCode="#,##0.00_ "/>
    <numFmt numFmtId="168" formatCode="#,##0.0000_ "/>
  </numFmts>
  <fonts count="11">
    <font>
      <sz val="11"/>
      <color theme="1"/>
      <name val="Calibri"/>
      <charset val="134"/>
      <scheme val="minor"/>
    </font>
    <font>
      <sz val="10"/>
      <color theme="1"/>
      <name val="Times New Roman"/>
      <family val="1"/>
    </font>
    <font>
      <sz val="10"/>
      <name val="宋体"/>
      <charset val="134"/>
    </font>
    <font>
      <b/>
      <sz val="10"/>
      <name val="宋体"/>
      <charset val="134"/>
    </font>
    <font>
      <sz val="10"/>
      <color rgb="FFFF0000"/>
      <name val="Times New Roman"/>
      <family val="1"/>
    </font>
    <font>
      <sz val="11"/>
      <name val="Times New Roman Regular"/>
      <charset val="134"/>
    </font>
    <font>
      <sz val="10"/>
      <color theme="1"/>
      <name val="宋体-简"/>
      <family val="1"/>
      <charset val="134"/>
    </font>
    <font>
      <sz val="12"/>
      <name val="宋体"/>
      <charset val="134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rgb="FFE3F2D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>
      <alignment vertical="center"/>
    </xf>
    <xf numFmtId="164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65" fontId="7" fillId="0" borderId="0" applyFont="0" applyFill="0" applyBorder="0" applyAlignment="0" applyProtection="0">
      <alignment vertical="center"/>
    </xf>
    <xf numFmtId="164" fontId="7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166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167" fontId="1" fillId="0" borderId="0" xfId="0" applyNumberFormat="1" applyFont="1">
      <alignment vertical="center"/>
    </xf>
    <xf numFmtId="166" fontId="2" fillId="0" borderId="1" xfId="2" applyNumberFormat="1" applyFont="1" applyBorder="1" applyAlignment="1">
      <alignment horizontal="center" vertical="center" wrapText="1"/>
    </xf>
    <xf numFmtId="0" fontId="2" fillId="2" borderId="1" xfId="2" applyFont="1" applyFill="1" applyBorder="1" applyAlignment="1">
      <alignment vertical="center" shrinkToFit="1"/>
    </xf>
    <xf numFmtId="167" fontId="1" fillId="2" borderId="1" xfId="0" applyNumberFormat="1" applyFont="1" applyFill="1" applyBorder="1" applyAlignment="1">
      <alignment horizontal="right" vertical="center"/>
    </xf>
    <xf numFmtId="49" fontId="2" fillId="0" borderId="1" xfId="2" applyNumberFormat="1" applyFont="1" applyBorder="1" applyAlignment="1">
      <alignment vertical="center" shrinkToFit="1"/>
    </xf>
    <xf numFmtId="167" fontId="1" fillId="0" borderId="1" xfId="0" applyNumberFormat="1" applyFont="1" applyBorder="1" applyAlignment="1">
      <alignment horizontal="right" vertical="center"/>
    </xf>
    <xf numFmtId="167" fontId="1" fillId="0" borderId="1" xfId="0" applyNumberFormat="1" applyFont="1" applyBorder="1">
      <alignment vertical="center"/>
    </xf>
    <xf numFmtId="49" fontId="3" fillId="0" borderId="1" xfId="4" applyNumberFormat="1" applyFont="1" applyFill="1" applyBorder="1" applyAlignment="1">
      <alignment vertical="center" shrinkToFit="1"/>
    </xf>
    <xf numFmtId="167" fontId="4" fillId="0" borderId="1" xfId="0" applyNumberFormat="1" applyFont="1" applyBorder="1" applyAlignment="1">
      <alignment horizontal="right" vertical="center"/>
    </xf>
    <xf numFmtId="49" fontId="2" fillId="0" borderId="1" xfId="3" applyNumberFormat="1" applyFont="1" applyFill="1" applyBorder="1" applyAlignment="1">
      <alignment vertical="center" shrinkToFit="1"/>
    </xf>
    <xf numFmtId="0" fontId="2" fillId="0" borderId="1" xfId="2" applyFont="1" applyBorder="1">
      <alignment vertical="center"/>
    </xf>
    <xf numFmtId="164" fontId="5" fillId="0" borderId="1" xfId="0" applyNumberFormat="1" applyFont="1" applyBorder="1" applyAlignment="1">
      <alignment horizontal="right" vertical="center"/>
    </xf>
    <xf numFmtId="0" fontId="3" fillId="0" borderId="1" xfId="2" applyFont="1" applyBorder="1">
      <alignment vertical="center"/>
    </xf>
    <xf numFmtId="0" fontId="6" fillId="0" borderId="0" xfId="0" applyFont="1" applyAlignment="1">
      <alignment horizontal="right" vertical="center"/>
    </xf>
    <xf numFmtId="168" fontId="1" fillId="0" borderId="0" xfId="0" applyNumberFormat="1" applyFont="1">
      <alignment vertical="center"/>
    </xf>
    <xf numFmtId="166" fontId="2" fillId="0" borderId="1" xfId="2" quotePrefix="1" applyNumberFormat="1" applyFont="1" applyBorder="1" applyAlignment="1">
      <alignment horizontal="center" vertical="center" wrapText="1"/>
    </xf>
    <xf numFmtId="167" fontId="9" fillId="2" borderId="1" xfId="0" applyNumberFormat="1" applyFont="1" applyFill="1" applyBorder="1" applyAlignment="1">
      <alignment horizontal="right" vertical="center"/>
    </xf>
    <xf numFmtId="164" fontId="9" fillId="2" borderId="1" xfId="1" applyFont="1" applyFill="1" applyBorder="1" applyAlignment="1">
      <alignment horizontal="right" vertical="center"/>
    </xf>
    <xf numFmtId="167" fontId="10" fillId="3" borderId="2" xfId="0" applyNumberFormat="1" applyFont="1" applyFill="1" applyBorder="1" applyAlignment="1">
      <alignment horizontal="right" vertical="center"/>
    </xf>
    <xf numFmtId="167" fontId="9" fillId="0" borderId="1" xfId="0" applyNumberFormat="1" applyFont="1" applyBorder="1" applyAlignment="1">
      <alignment horizontal="right" vertical="center"/>
    </xf>
    <xf numFmtId="0" fontId="9" fillId="0" borderId="0" xfId="0" applyFont="1">
      <alignment vertical="center"/>
    </xf>
  </cellXfs>
  <cellStyles count="5">
    <cellStyle name="Обычный" xfId="0" builtinId="0"/>
    <cellStyle name="Финансовый" xfId="1" builtinId="3"/>
    <cellStyle name="千位分隔 9_资金收支情况表 (2)_1" xfId="3" xr:uid="{00000000-0005-0000-0000-000032000000}"/>
    <cellStyle name="千位分隔_资金收支表_11_资金收支情况表 (2)" xfId="4" xr:uid="{00000000-0005-0000-0000-000033000000}"/>
    <cellStyle name="常规_Sheet1 3_北京分公司6月份收支报表" xfId="2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"/>
  <sheetViews>
    <sheetView showGridLines="0" tabSelected="1" workbookViewId="0">
      <pane xSplit="1" ySplit="1" topLeftCell="O82" activePane="bottomRight" state="frozen"/>
      <selection pane="topRight"/>
      <selection pane="bottomLeft"/>
      <selection pane="bottomRight" activeCell="V105" sqref="V105"/>
    </sheetView>
  </sheetViews>
  <sheetFormatPr baseColWidth="10" defaultColWidth="9.6640625" defaultRowHeight="13"/>
  <cols>
    <col min="1" max="1" width="26.83203125" style="2" customWidth="1"/>
    <col min="2" max="2" width="15.6640625" style="3" customWidth="1"/>
    <col min="3" max="4" width="16.6640625" style="3" customWidth="1"/>
    <col min="5" max="6" width="17.83203125" style="3" customWidth="1"/>
    <col min="7" max="7" width="16.6640625" style="3" customWidth="1"/>
    <col min="8" max="23" width="15.83203125" style="3" customWidth="1"/>
    <col min="24" max="16384" width="9.6640625" style="2"/>
  </cols>
  <sheetData>
    <row r="1" spans="1:23" s="1" customFormat="1" ht="17" customHeight="1">
      <c r="A1" s="4"/>
      <c r="B1" s="18" t="s">
        <v>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7</v>
      </c>
      <c r="J1" s="18" t="s">
        <v>8</v>
      </c>
      <c r="K1" s="18" t="s">
        <v>9</v>
      </c>
      <c r="L1" s="18" t="s">
        <v>10</v>
      </c>
      <c r="M1" s="18" t="s">
        <v>11</v>
      </c>
      <c r="N1" s="18" t="s">
        <v>12</v>
      </c>
      <c r="O1" s="18" t="s">
        <v>13</v>
      </c>
      <c r="P1" s="18" t="s">
        <v>14</v>
      </c>
      <c r="Q1" s="18" t="s">
        <v>15</v>
      </c>
      <c r="R1" s="18" t="s">
        <v>16</v>
      </c>
      <c r="S1" s="18" t="s">
        <v>17</v>
      </c>
      <c r="T1" s="18" t="s">
        <v>18</v>
      </c>
      <c r="U1" s="18" t="s">
        <v>19</v>
      </c>
      <c r="V1" s="18" t="s">
        <v>114</v>
      </c>
      <c r="W1" s="18" t="s">
        <v>115</v>
      </c>
    </row>
    <row r="2" spans="1:23" ht="17" customHeight="1">
      <c r="A2" s="5" t="s">
        <v>20</v>
      </c>
      <c r="B2" s="6">
        <v>3331539</v>
      </c>
      <c r="C2" s="6">
        <v>3331539</v>
      </c>
      <c r="D2" s="6">
        <v>82888</v>
      </c>
      <c r="E2" s="6">
        <v>10000000</v>
      </c>
      <c r="F2" s="6">
        <v>9630204.8900000006</v>
      </c>
      <c r="G2" s="6">
        <v>45819360.649999999</v>
      </c>
      <c r="H2" s="6">
        <v>850371.8</v>
      </c>
      <c r="I2" s="6">
        <v>42145778.990000002</v>
      </c>
      <c r="J2" s="6">
        <v>2000000</v>
      </c>
      <c r="K2" s="6"/>
      <c r="L2" s="6">
        <v>20072725.629999999</v>
      </c>
      <c r="M2" s="6">
        <v>12039710.970000001</v>
      </c>
      <c r="N2" s="6">
        <v>14166104.560000001</v>
      </c>
      <c r="O2" s="6">
        <v>218395298.24000001</v>
      </c>
      <c r="P2" s="6"/>
      <c r="Q2" s="6"/>
      <c r="R2" s="6">
        <v>3011902.56</v>
      </c>
      <c r="S2" s="20">
        <v>9258495.6799999997</v>
      </c>
      <c r="T2" s="6">
        <f>6313338.66+3700000</f>
        <v>10013338.66</v>
      </c>
      <c r="U2" s="6">
        <v>13286129.449999999</v>
      </c>
      <c r="V2" s="6">
        <v>33593687.039999999</v>
      </c>
      <c r="W2" s="6">
        <v>153724701.16999999</v>
      </c>
    </row>
    <row r="3" spans="1:23" ht="17" customHeight="1">
      <c r="A3" s="5" t="s">
        <v>21</v>
      </c>
      <c r="B3" s="6"/>
      <c r="C3" s="6"/>
      <c r="D3" s="6">
        <v>1503143.52</v>
      </c>
      <c r="E3" s="6">
        <v>165168.9</v>
      </c>
      <c r="F3" s="6">
        <v>357372.05</v>
      </c>
      <c r="G3" s="6">
        <v>451046.63</v>
      </c>
      <c r="H3" s="6"/>
      <c r="I3" s="6">
        <v>55715.5</v>
      </c>
      <c r="J3" s="6">
        <v>44567.03</v>
      </c>
      <c r="K3" s="6">
        <v>11520.38</v>
      </c>
      <c r="L3" s="6">
        <v>989.6</v>
      </c>
      <c r="M3" s="6">
        <v>11186.9</v>
      </c>
      <c r="N3" s="6">
        <v>9661.5003840000008</v>
      </c>
      <c r="O3" s="6">
        <v>5824.87</v>
      </c>
      <c r="P3" s="6">
        <v>228319.34</v>
      </c>
      <c r="Q3" s="6">
        <v>1004228.86</v>
      </c>
      <c r="R3" s="6">
        <v>1168413.31</v>
      </c>
      <c r="S3" s="19">
        <v>818351.58</v>
      </c>
      <c r="T3" s="6">
        <v>171507.01</v>
      </c>
      <c r="U3" s="6">
        <f>304885.17+1216005.2</f>
        <v>1520890.3699999999</v>
      </c>
      <c r="V3" s="6">
        <v>7320092.5300000003</v>
      </c>
      <c r="W3" s="6">
        <v>16540000</v>
      </c>
    </row>
    <row r="4" spans="1:23" ht="17" customHeight="1">
      <c r="A4" s="7" t="s">
        <v>22</v>
      </c>
      <c r="B4" s="8">
        <v>15031.613276</v>
      </c>
      <c r="C4" s="8">
        <v>13692.168164000001</v>
      </c>
      <c r="D4" s="8">
        <v>11759.11</v>
      </c>
      <c r="E4" s="8">
        <v>22998.98</v>
      </c>
      <c r="F4" s="8">
        <v>20290.509999999998</v>
      </c>
      <c r="G4" s="8">
        <v>21894.86</v>
      </c>
      <c r="H4" s="8">
        <v>39871</v>
      </c>
      <c r="I4" s="8">
        <v>159874.15</v>
      </c>
      <c r="J4" s="8">
        <v>32782.69</v>
      </c>
      <c r="K4" s="8">
        <v>11816.02</v>
      </c>
      <c r="L4" s="8">
        <v>144540.54</v>
      </c>
      <c r="M4" s="8">
        <v>698273.27</v>
      </c>
      <c r="N4" s="8"/>
      <c r="O4" s="8">
        <v>612150.1</v>
      </c>
      <c r="P4" s="8">
        <v>729146.23</v>
      </c>
      <c r="Q4" s="9">
        <f>1189982.65-323400</f>
        <v>866582.64999999991</v>
      </c>
      <c r="R4" s="9">
        <v>899743.25</v>
      </c>
      <c r="S4" s="9">
        <v>973931.07</v>
      </c>
      <c r="T4" s="9">
        <v>924603.81</v>
      </c>
      <c r="U4" s="9">
        <v>1828232.96</v>
      </c>
      <c r="V4" s="9">
        <v>3662191.66</v>
      </c>
      <c r="W4" s="9">
        <v>1901485.89</v>
      </c>
    </row>
    <row r="5" spans="1:23" ht="17" customHeight="1">
      <c r="A5" s="7" t="s">
        <v>23</v>
      </c>
      <c r="B5" s="8"/>
      <c r="C5" s="8">
        <v>82888</v>
      </c>
      <c r="D5" s="8">
        <v>165168.9</v>
      </c>
      <c r="E5" s="8">
        <v>357372.05</v>
      </c>
      <c r="F5" s="8">
        <v>451046.63</v>
      </c>
      <c r="G5" s="8">
        <v>8461.5</v>
      </c>
      <c r="H5" s="8">
        <v>378691.6</v>
      </c>
      <c r="I5" s="8">
        <v>50719.55</v>
      </c>
      <c r="J5" s="8">
        <v>1347097.96</v>
      </c>
      <c r="K5" s="8">
        <v>281550.44</v>
      </c>
      <c r="L5" s="8">
        <v>50092.19</v>
      </c>
      <c r="M5" s="8">
        <v>1794175.06</v>
      </c>
      <c r="N5" s="8">
        <v>57101.95</v>
      </c>
      <c r="O5" s="8">
        <v>916450.54</v>
      </c>
      <c r="P5" s="8">
        <v>510102.79</v>
      </c>
      <c r="Q5" s="8">
        <v>45324</v>
      </c>
      <c r="R5" s="8">
        <v>1379711.77</v>
      </c>
      <c r="S5" s="21">
        <v>292088.61869999999</v>
      </c>
      <c r="T5" s="8">
        <v>1658642.71</v>
      </c>
      <c r="U5" s="8">
        <v>1416924.88</v>
      </c>
      <c r="V5" s="8">
        <v>3964491.45</v>
      </c>
      <c r="W5" s="8"/>
    </row>
    <row r="6" spans="1:23" ht="17" customHeight="1">
      <c r="A6" s="7" t="s">
        <v>24</v>
      </c>
      <c r="B6" s="8">
        <v>8352.5956220000007</v>
      </c>
      <c r="C6" s="8">
        <v>34107.352124999998</v>
      </c>
      <c r="D6" s="8">
        <v>56290.89</v>
      </c>
      <c r="E6" s="8">
        <v>179109.64</v>
      </c>
      <c r="F6" s="8">
        <v>335301.40999999997</v>
      </c>
      <c r="G6" s="8">
        <v>453769.06</v>
      </c>
      <c r="H6" s="8">
        <v>443337.23</v>
      </c>
      <c r="I6" s="8">
        <v>569234.42000000004</v>
      </c>
      <c r="J6" s="8">
        <v>773427</v>
      </c>
      <c r="K6" s="8">
        <v>1020442.41</v>
      </c>
      <c r="L6" s="8">
        <v>1339138.3700000001</v>
      </c>
      <c r="M6" s="8">
        <v>1581952.5</v>
      </c>
      <c r="N6" s="8">
        <v>2120663.1624960001</v>
      </c>
      <c r="O6" s="8">
        <v>1568102.37</v>
      </c>
      <c r="P6" s="8">
        <v>887557.82</v>
      </c>
      <c r="Q6" s="8">
        <v>1305907.42</v>
      </c>
      <c r="R6" s="8">
        <v>1651280.28</v>
      </c>
      <c r="S6" s="21">
        <v>1832631.80378896</v>
      </c>
      <c r="T6" s="8">
        <v>1984863.68</v>
      </c>
      <c r="U6" s="8">
        <v>2465397.8199999998</v>
      </c>
      <c r="V6" s="8">
        <v>2326443.52</v>
      </c>
      <c r="W6" s="8">
        <v>1326665.6399999999</v>
      </c>
    </row>
    <row r="7" spans="1:23" ht="17" customHeight="1">
      <c r="A7" s="7" t="s">
        <v>25</v>
      </c>
      <c r="B7" s="8"/>
      <c r="C7" s="8"/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81625.429999999993</v>
      </c>
      <c r="J7" s="8">
        <v>447401.96</v>
      </c>
      <c r="K7" s="8">
        <v>395637.3</v>
      </c>
      <c r="L7" s="8">
        <v>291368.61</v>
      </c>
      <c r="M7" s="8">
        <v>255538.14</v>
      </c>
      <c r="N7" s="8">
        <v>1032241.04</v>
      </c>
      <c r="O7" s="8">
        <v>189159.1</v>
      </c>
      <c r="P7" s="8">
        <v>123864.2</v>
      </c>
      <c r="Q7" s="8">
        <v>515400.08</v>
      </c>
      <c r="R7" s="8">
        <v>541336.21</v>
      </c>
      <c r="S7" s="8"/>
      <c r="T7" s="8"/>
      <c r="U7" s="8">
        <v>528429.53</v>
      </c>
      <c r="V7" s="8"/>
      <c r="W7" s="8"/>
    </row>
    <row r="8" spans="1:23" ht="17" customHeight="1">
      <c r="A8" s="10" t="s">
        <v>26</v>
      </c>
      <c r="B8" s="8"/>
      <c r="C8" s="8"/>
      <c r="D8" s="8">
        <v>1180.55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1"/>
      <c r="O8" s="11"/>
      <c r="P8" s="11"/>
      <c r="Q8" s="11"/>
      <c r="R8" s="11"/>
      <c r="S8" s="11"/>
      <c r="T8" s="11"/>
      <c r="U8" s="11"/>
      <c r="V8" s="11"/>
      <c r="W8" s="11"/>
    </row>
    <row r="9" spans="1:23" ht="17" customHeight="1">
      <c r="A9" s="10" t="s">
        <v>27</v>
      </c>
      <c r="B9" s="8"/>
      <c r="C9" s="8"/>
      <c r="D9" s="8">
        <v>0</v>
      </c>
      <c r="E9" s="8">
        <v>0</v>
      </c>
      <c r="F9" s="8">
        <v>623.25</v>
      </c>
      <c r="G9" s="8">
        <v>0</v>
      </c>
      <c r="H9" s="8">
        <v>0</v>
      </c>
      <c r="I9" s="8">
        <v>2327.5</v>
      </c>
      <c r="J9" s="8">
        <v>0</v>
      </c>
      <c r="K9" s="8">
        <v>3267.84</v>
      </c>
      <c r="L9" s="8">
        <v>0</v>
      </c>
      <c r="M9" s="8">
        <v>0</v>
      </c>
      <c r="N9" s="8">
        <v>1918.08</v>
      </c>
      <c r="O9" s="8">
        <v>454</v>
      </c>
      <c r="P9" s="8"/>
      <c r="Q9" s="8">
        <v>2857.52</v>
      </c>
      <c r="R9" s="8"/>
      <c r="S9" s="8"/>
      <c r="T9" s="8"/>
      <c r="U9" s="8"/>
      <c r="V9" s="8"/>
      <c r="W9" s="8"/>
    </row>
    <row r="10" spans="1:23" ht="17" customHeight="1">
      <c r="A10" s="10" t="s">
        <v>28</v>
      </c>
      <c r="B10" s="8"/>
      <c r="C10" s="8">
        <v>1821.0550000000001</v>
      </c>
      <c r="D10" s="8">
        <v>8532.59</v>
      </c>
      <c r="E10" s="8">
        <v>341.83</v>
      </c>
      <c r="F10" s="8">
        <v>11960.57</v>
      </c>
      <c r="G10" s="8">
        <v>0</v>
      </c>
      <c r="H10" s="8">
        <v>22456.14</v>
      </c>
      <c r="I10" s="8">
        <v>49829.33</v>
      </c>
      <c r="J10" s="8">
        <v>39347.1</v>
      </c>
      <c r="K10" s="8">
        <v>125384.9</v>
      </c>
      <c r="L10" s="8">
        <v>2682.94</v>
      </c>
      <c r="M10" s="8">
        <v>29820.73</v>
      </c>
      <c r="N10" s="8">
        <v>14644.076376000001</v>
      </c>
      <c r="O10" s="8">
        <f>37709.06+55.68</f>
        <v>37764.74</v>
      </c>
      <c r="P10" s="8"/>
      <c r="Q10" s="8">
        <v>37050.58</v>
      </c>
      <c r="R10" s="8"/>
      <c r="S10" s="8">
        <v>156615.97</v>
      </c>
      <c r="T10" s="8">
        <v>250674.3</v>
      </c>
      <c r="U10" s="8">
        <v>68842.2</v>
      </c>
      <c r="V10" s="8"/>
      <c r="W10" s="8"/>
    </row>
    <row r="11" spans="1:23" ht="17" customHeight="1">
      <c r="A11" s="10" t="s">
        <v>29</v>
      </c>
      <c r="B11" s="8"/>
      <c r="C11" s="8">
        <v>9492.2243999999992</v>
      </c>
      <c r="D11" s="8">
        <v>12381.33</v>
      </c>
      <c r="E11" s="8">
        <v>6267.53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/>
      <c r="O11" s="8"/>
      <c r="P11" s="8"/>
      <c r="Q11" s="8">
        <v>1446.06</v>
      </c>
      <c r="R11" s="8"/>
      <c r="S11" s="8"/>
      <c r="T11" s="8"/>
      <c r="U11" s="8"/>
      <c r="V11" s="8"/>
      <c r="W11" s="8"/>
    </row>
    <row r="12" spans="1:23" ht="17" customHeight="1">
      <c r="A12" s="10" t="s">
        <v>30</v>
      </c>
      <c r="B12" s="8"/>
      <c r="C12" s="8">
        <v>23802.477800000001</v>
      </c>
      <c r="D12" s="8">
        <v>35027.769999999997</v>
      </c>
      <c r="E12" s="8">
        <v>46400.55</v>
      </c>
      <c r="F12" s="8">
        <v>23120.9</v>
      </c>
      <c r="G12" s="8">
        <v>0</v>
      </c>
      <c r="H12" s="8">
        <v>0</v>
      </c>
      <c r="I12" s="8">
        <v>67436.89</v>
      </c>
      <c r="J12" s="8">
        <v>5477.91</v>
      </c>
      <c r="K12" s="8">
        <v>0</v>
      </c>
      <c r="L12" s="8">
        <v>0</v>
      </c>
      <c r="M12" s="8">
        <v>0</v>
      </c>
      <c r="N12" s="8">
        <v>2354.9760000000001</v>
      </c>
      <c r="O12" s="8"/>
      <c r="P12" s="8"/>
      <c r="Q12" s="8"/>
      <c r="R12" s="8"/>
      <c r="S12" s="8"/>
      <c r="T12" s="8"/>
      <c r="U12" s="8"/>
      <c r="V12" s="8"/>
      <c r="W12" s="8"/>
    </row>
    <row r="13" spans="1:23" ht="17" customHeight="1">
      <c r="A13" s="10" t="s">
        <v>31</v>
      </c>
      <c r="B13" s="8"/>
      <c r="C13" s="8"/>
      <c r="D13" s="8"/>
      <c r="E13" s="8"/>
      <c r="F13" s="8"/>
      <c r="G13" s="8"/>
      <c r="H13" s="8"/>
      <c r="I13" s="8"/>
      <c r="J13" s="8"/>
      <c r="K13" s="8">
        <v>8848.8799999999992</v>
      </c>
      <c r="L13" s="8">
        <v>23034.98</v>
      </c>
      <c r="M13" s="8">
        <v>16554.34</v>
      </c>
      <c r="N13" s="8">
        <v>12324.374400000001</v>
      </c>
      <c r="O13" s="8">
        <v>1148.71</v>
      </c>
      <c r="P13" s="8"/>
      <c r="Q13" s="8">
        <v>8263.75</v>
      </c>
      <c r="R13" s="8"/>
      <c r="S13" s="8"/>
      <c r="T13" s="8">
        <v>30455.86</v>
      </c>
      <c r="U13" s="8">
        <v>90630.05</v>
      </c>
      <c r="V13" s="8">
        <v>602407.30000000005</v>
      </c>
      <c r="W13" s="8"/>
    </row>
    <row r="14" spans="1:23" ht="17" customHeight="1">
      <c r="A14" s="10" t="s">
        <v>32</v>
      </c>
      <c r="B14" s="8"/>
      <c r="C14" s="8"/>
      <c r="D14" s="8">
        <v>3305</v>
      </c>
      <c r="E14" s="8">
        <v>52.1</v>
      </c>
      <c r="F14" s="8">
        <v>42.38</v>
      </c>
      <c r="G14" s="8">
        <v>0</v>
      </c>
      <c r="H14" s="8">
        <v>17720</v>
      </c>
      <c r="I14" s="8">
        <v>0</v>
      </c>
      <c r="J14" s="8">
        <v>45650</v>
      </c>
      <c r="K14" s="8">
        <v>0</v>
      </c>
      <c r="L14" s="8">
        <v>0</v>
      </c>
      <c r="M14" s="8">
        <v>0</v>
      </c>
      <c r="N14" s="8">
        <v>4440</v>
      </c>
      <c r="O14" s="8"/>
      <c r="P14" s="8"/>
      <c r="Q14" s="8"/>
      <c r="R14" s="8"/>
      <c r="S14" s="8"/>
      <c r="T14" s="8"/>
      <c r="U14" s="8"/>
      <c r="V14" s="8"/>
      <c r="W14" s="8"/>
    </row>
    <row r="15" spans="1:23" ht="17" customHeight="1">
      <c r="A15" s="10" t="s">
        <v>33</v>
      </c>
      <c r="B15" s="8"/>
      <c r="C15" s="8">
        <v>9200.6163180000003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6938.07</v>
      </c>
      <c r="J15" s="8">
        <v>9130</v>
      </c>
      <c r="K15" s="8">
        <v>19094.66</v>
      </c>
      <c r="L15" s="8">
        <v>442</v>
      </c>
      <c r="M15" s="8">
        <v>41491.03</v>
      </c>
      <c r="N15" s="8">
        <v>44998.36</v>
      </c>
      <c r="O15" s="8">
        <v>41870.51</v>
      </c>
      <c r="P15" s="8"/>
      <c r="Q15" s="8"/>
      <c r="R15" s="8"/>
      <c r="S15" s="8">
        <v>49674.04</v>
      </c>
      <c r="T15" s="8">
        <v>260689.62</v>
      </c>
      <c r="U15" s="8">
        <v>56513.85</v>
      </c>
      <c r="V15" s="8"/>
      <c r="W15" s="8"/>
    </row>
    <row r="16" spans="1:23" ht="17" customHeight="1">
      <c r="A16" s="10" t="s">
        <v>34</v>
      </c>
      <c r="B16" s="8"/>
      <c r="C16" s="8"/>
      <c r="D16" s="8">
        <v>921.3</v>
      </c>
      <c r="E16" s="8">
        <v>0</v>
      </c>
      <c r="F16" s="8">
        <v>2206.37</v>
      </c>
      <c r="G16" s="8">
        <v>0</v>
      </c>
      <c r="H16" s="8">
        <v>0</v>
      </c>
      <c r="I16" s="8">
        <v>0</v>
      </c>
      <c r="J16" s="8">
        <v>7403.01</v>
      </c>
      <c r="K16" s="8">
        <v>1161.77</v>
      </c>
      <c r="L16" s="8">
        <v>5746.79</v>
      </c>
      <c r="M16" s="8">
        <v>0</v>
      </c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 ht="17" customHeight="1">
      <c r="A17" s="10" t="s">
        <v>35</v>
      </c>
      <c r="B17" s="8"/>
      <c r="C17" s="8"/>
      <c r="D17" s="8">
        <v>12724.25</v>
      </c>
      <c r="E17" s="8">
        <v>591.20000000000005</v>
      </c>
      <c r="F17" s="8">
        <v>0</v>
      </c>
      <c r="G17" s="8">
        <v>0</v>
      </c>
      <c r="H17" s="8">
        <v>0</v>
      </c>
      <c r="I17" s="8">
        <v>0</v>
      </c>
      <c r="J17" s="8">
        <v>232221.37</v>
      </c>
      <c r="K17" s="8">
        <v>0</v>
      </c>
      <c r="L17" s="8">
        <v>9052.16</v>
      </c>
      <c r="M17" s="8">
        <v>0</v>
      </c>
      <c r="N17" s="8">
        <v>80837</v>
      </c>
      <c r="O17" s="8">
        <v>45777.16</v>
      </c>
      <c r="P17" s="8"/>
      <c r="Q17" s="8"/>
      <c r="R17" s="8"/>
      <c r="S17" s="8"/>
      <c r="T17" s="8">
        <v>23704.59</v>
      </c>
      <c r="U17" s="8"/>
      <c r="V17" s="8"/>
      <c r="W17" s="8"/>
    </row>
    <row r="18" spans="1:23" ht="17" customHeight="1">
      <c r="A18" s="10" t="s">
        <v>36</v>
      </c>
      <c r="B18" s="8"/>
      <c r="C18" s="8"/>
      <c r="D18" s="8">
        <v>0</v>
      </c>
      <c r="E18" s="8">
        <v>0</v>
      </c>
      <c r="F18" s="8">
        <v>7124.99</v>
      </c>
      <c r="G18" s="8">
        <v>0</v>
      </c>
      <c r="H18" s="8">
        <v>0</v>
      </c>
      <c r="I18" s="8">
        <v>6122.26</v>
      </c>
      <c r="J18" s="8">
        <v>0</v>
      </c>
      <c r="K18" s="8">
        <v>11135.52</v>
      </c>
      <c r="L18" s="8">
        <v>0</v>
      </c>
      <c r="M18" s="8">
        <v>155698.15</v>
      </c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 ht="17" customHeight="1">
      <c r="A19" s="10" t="s">
        <v>37</v>
      </c>
      <c r="B19" s="8">
        <v>8759.9025000000001</v>
      </c>
      <c r="C19" s="8">
        <v>9005.5300000000007</v>
      </c>
      <c r="D19" s="8">
        <v>5393.76</v>
      </c>
      <c r="E19" s="8">
        <v>62401.16</v>
      </c>
      <c r="F19" s="8">
        <v>119226.31</v>
      </c>
      <c r="G19" s="8">
        <v>38252.699999999997</v>
      </c>
      <c r="H19" s="8">
        <v>784298.43</v>
      </c>
      <c r="I19" s="8">
        <v>105561.58</v>
      </c>
      <c r="J19" s="8">
        <v>981821.21</v>
      </c>
      <c r="K19" s="8">
        <v>143856</v>
      </c>
      <c r="L19" s="8">
        <v>546048.92000000004</v>
      </c>
      <c r="M19" s="8">
        <v>797732.71</v>
      </c>
      <c r="N19" s="8">
        <v>235276.56</v>
      </c>
      <c r="O19" s="8">
        <v>385736.56</v>
      </c>
      <c r="P19" s="8"/>
      <c r="Q19" s="8">
        <v>323400</v>
      </c>
      <c r="R19" s="8">
        <v>93448.08</v>
      </c>
      <c r="S19" s="8">
        <v>12679</v>
      </c>
      <c r="T19" s="8"/>
      <c r="U19" s="8">
        <v>14707</v>
      </c>
      <c r="V19" s="8"/>
      <c r="W19" s="8"/>
    </row>
    <row r="20" spans="1:23" ht="17" customHeight="1">
      <c r="A20" s="10" t="s">
        <v>38</v>
      </c>
      <c r="B20" s="8"/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63910</v>
      </c>
      <c r="K20" s="8">
        <v>90886.8</v>
      </c>
      <c r="L20" s="8">
        <v>142012.39000000001</v>
      </c>
      <c r="M20" s="8">
        <v>319853.82</v>
      </c>
      <c r="N20" s="8">
        <v>2664</v>
      </c>
      <c r="O20" s="8">
        <v>186934.5</v>
      </c>
      <c r="P20" s="8">
        <v>210709.08</v>
      </c>
      <c r="Q20" s="8"/>
      <c r="R20" s="8"/>
      <c r="S20" s="8">
        <v>83312.899999999994</v>
      </c>
      <c r="T20" s="22">
        <v>751272.66</v>
      </c>
      <c r="U20" s="8">
        <v>669784.48</v>
      </c>
      <c r="V20" s="8"/>
      <c r="W20" s="8"/>
    </row>
    <row r="21" spans="1:23" ht="17" customHeight="1">
      <c r="A21" s="10" t="s">
        <v>39</v>
      </c>
      <c r="B21" s="8">
        <v>132.26609999999999</v>
      </c>
      <c r="C21" s="8">
        <v>195.79</v>
      </c>
      <c r="D21" s="8">
        <v>0</v>
      </c>
      <c r="E21" s="8">
        <v>94.22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509.8</v>
      </c>
      <c r="L21" s="8">
        <v>0</v>
      </c>
      <c r="M21" s="8">
        <v>231.06</v>
      </c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 ht="17" customHeight="1">
      <c r="A22" s="10" t="s">
        <v>110</v>
      </c>
      <c r="B22" s="8"/>
      <c r="C22" s="8">
        <v>2974.5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6050.22</v>
      </c>
      <c r="J22" s="8">
        <v>7212.7</v>
      </c>
      <c r="K22" s="8">
        <v>3548.45</v>
      </c>
      <c r="L22" s="8">
        <v>0</v>
      </c>
      <c r="M22" s="8">
        <v>0</v>
      </c>
      <c r="N22" s="8"/>
      <c r="O22" s="8"/>
      <c r="P22" s="8"/>
      <c r="Q22" s="8"/>
      <c r="R22" s="8"/>
      <c r="S22" s="8"/>
      <c r="T22" s="8">
        <v>317631</v>
      </c>
      <c r="U22" s="8">
        <v>107771.75</v>
      </c>
      <c r="V22" s="8"/>
      <c r="W22" s="8"/>
    </row>
    <row r="23" spans="1:23" ht="17" customHeight="1">
      <c r="A23" s="10" t="s">
        <v>40</v>
      </c>
      <c r="B23" s="8"/>
      <c r="C23" s="8">
        <v>8725.2000000000007</v>
      </c>
      <c r="D23" s="8">
        <v>0</v>
      </c>
      <c r="E23" s="8">
        <v>0</v>
      </c>
      <c r="F23" s="8">
        <v>0</v>
      </c>
      <c r="G23" s="8">
        <v>0</v>
      </c>
      <c r="H23" s="8">
        <v>1329</v>
      </c>
      <c r="I23" s="8">
        <v>1117.2</v>
      </c>
      <c r="J23" s="8">
        <v>1095.5999999999999</v>
      </c>
      <c r="K23" s="8">
        <v>0</v>
      </c>
      <c r="L23" s="8">
        <v>1060.8</v>
      </c>
      <c r="M23" s="8">
        <v>1029.5999999999999</v>
      </c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 ht="17" customHeight="1">
      <c r="A24" s="10" t="s">
        <v>41</v>
      </c>
      <c r="B24" s="8">
        <v>198.3</v>
      </c>
      <c r="C24" s="8">
        <v>2623.05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 ht="17" customHeight="1">
      <c r="A25" s="10" t="s">
        <v>42</v>
      </c>
      <c r="B25" s="8"/>
      <c r="C25" s="8">
        <v>1454.2</v>
      </c>
      <c r="D25" s="8">
        <v>591661.1</v>
      </c>
      <c r="E25" s="8">
        <v>0</v>
      </c>
      <c r="F25" s="8">
        <v>0</v>
      </c>
      <c r="G25" s="8">
        <v>0</v>
      </c>
      <c r="H25" s="8">
        <v>2923.8</v>
      </c>
      <c r="I25" s="8">
        <v>1768.9</v>
      </c>
      <c r="J25" s="8">
        <v>1004.3</v>
      </c>
      <c r="K25" s="8">
        <v>0</v>
      </c>
      <c r="L25" s="8">
        <v>0</v>
      </c>
      <c r="M25" s="8">
        <v>0</v>
      </c>
      <c r="N25" s="8">
        <v>13320</v>
      </c>
      <c r="O25" s="8"/>
      <c r="P25" s="8"/>
      <c r="Q25" s="8">
        <v>284314.8</v>
      </c>
      <c r="R25" s="8"/>
      <c r="S25" s="8"/>
      <c r="T25" s="8"/>
      <c r="U25" s="8"/>
      <c r="V25" s="8"/>
      <c r="W25" s="8"/>
    </row>
    <row r="26" spans="1:23" ht="17" customHeight="1">
      <c r="A26" s="10" t="s">
        <v>43</v>
      </c>
      <c r="B26" s="8"/>
      <c r="C26" s="8">
        <v>1725.21</v>
      </c>
      <c r="D26" s="8">
        <v>1189.1400000000001</v>
      </c>
      <c r="E26" s="8">
        <v>2052.16</v>
      </c>
      <c r="F26" s="8">
        <v>0</v>
      </c>
      <c r="G26" s="8">
        <v>0</v>
      </c>
      <c r="H26" s="8">
        <v>2198.34</v>
      </c>
      <c r="I26" s="8">
        <v>3477.73</v>
      </c>
      <c r="J26" s="8">
        <v>3717.12</v>
      </c>
      <c r="K26" s="8">
        <v>3658.2</v>
      </c>
      <c r="L26" s="8">
        <v>0</v>
      </c>
      <c r="M26" s="8">
        <v>3333.84</v>
      </c>
      <c r="N26" s="8">
        <v>3899.3856000000001</v>
      </c>
      <c r="O26" s="8"/>
      <c r="P26" s="8"/>
      <c r="Q26" s="8"/>
      <c r="R26" s="8"/>
      <c r="S26" s="8"/>
      <c r="T26" s="8"/>
      <c r="U26" s="8"/>
      <c r="V26" s="8"/>
      <c r="W26" s="8"/>
    </row>
    <row r="27" spans="1:23" ht="17" customHeight="1">
      <c r="A27" s="10" t="s">
        <v>44</v>
      </c>
      <c r="B27" s="8"/>
      <c r="C27" s="8">
        <v>2801.78</v>
      </c>
      <c r="D27" s="8">
        <v>0</v>
      </c>
      <c r="E27" s="8">
        <v>1162.45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/>
      <c r="O27" s="8"/>
      <c r="P27" s="8"/>
      <c r="Q27" s="8">
        <v>334500</v>
      </c>
      <c r="R27" s="8"/>
      <c r="S27" s="8"/>
      <c r="T27" s="8"/>
      <c r="U27" s="8"/>
      <c r="V27" s="8"/>
      <c r="W27" s="8"/>
    </row>
    <row r="28" spans="1:23" ht="17" customHeight="1">
      <c r="A28" s="10" t="s">
        <v>45</v>
      </c>
      <c r="B28" s="8"/>
      <c r="C28" s="8">
        <v>4062.77</v>
      </c>
      <c r="D28" s="8">
        <v>396.6</v>
      </c>
      <c r="E28" s="8">
        <v>787.04</v>
      </c>
      <c r="F28" s="8">
        <v>0</v>
      </c>
      <c r="G28" s="8">
        <v>0</v>
      </c>
      <c r="H28" s="8">
        <v>0</v>
      </c>
      <c r="I28" s="8">
        <v>172.24</v>
      </c>
      <c r="J28" s="8">
        <v>2017.73</v>
      </c>
      <c r="K28" s="8">
        <v>0</v>
      </c>
      <c r="L28" s="8">
        <v>1149.2</v>
      </c>
      <c r="M28" s="8">
        <v>127.84</v>
      </c>
      <c r="N28" s="8">
        <v>6632.6495999999997</v>
      </c>
      <c r="O28" s="8"/>
      <c r="P28" s="8"/>
      <c r="Q28" s="8"/>
      <c r="R28" s="8"/>
      <c r="S28" s="8"/>
      <c r="T28" s="8"/>
      <c r="U28" s="8"/>
      <c r="V28" s="8"/>
      <c r="W28" s="8"/>
    </row>
    <row r="29" spans="1:23" ht="17" customHeight="1">
      <c r="A29" s="10" t="s">
        <v>46</v>
      </c>
      <c r="B29" s="8"/>
      <c r="C29" s="8"/>
      <c r="D29" s="8"/>
      <c r="E29" s="8"/>
      <c r="F29" s="8"/>
      <c r="G29" s="8"/>
      <c r="H29" s="8">
        <v>0</v>
      </c>
      <c r="I29" s="8">
        <v>0</v>
      </c>
      <c r="J29" s="8">
        <v>0</v>
      </c>
      <c r="K29" s="8">
        <v>78800</v>
      </c>
      <c r="L29" s="8">
        <v>0</v>
      </c>
      <c r="M29" s="8">
        <v>0</v>
      </c>
      <c r="N29" s="8"/>
      <c r="O29" s="8"/>
      <c r="P29" s="8"/>
      <c r="Q29" s="8"/>
      <c r="R29" s="8">
        <v>185248.34</v>
      </c>
      <c r="S29" s="8"/>
      <c r="T29" s="8"/>
      <c r="U29" s="8"/>
      <c r="V29" s="8"/>
      <c r="W29" s="8"/>
    </row>
    <row r="30" spans="1:23" ht="17" customHeight="1">
      <c r="A30" s="10" t="s">
        <v>47</v>
      </c>
      <c r="B30" s="8"/>
      <c r="C30" s="8"/>
      <c r="D30" s="8"/>
      <c r="E30" s="8"/>
      <c r="F30" s="8"/>
      <c r="G30" s="8">
        <v>62138.31</v>
      </c>
      <c r="H30" s="8">
        <v>250906.62</v>
      </c>
      <c r="I30" s="8">
        <v>9951.36</v>
      </c>
      <c r="J30" s="8">
        <v>93853.6</v>
      </c>
      <c r="K30" s="8">
        <f>28944.36+14592.05</f>
        <v>43536.41</v>
      </c>
      <c r="L30" s="8">
        <f>15395.96+27276.52</f>
        <v>42672.479999999996</v>
      </c>
      <c r="M30" s="8">
        <f>39824.05+905798.08</f>
        <v>945622.13</v>
      </c>
      <c r="N30" s="8">
        <v>49955.15</v>
      </c>
      <c r="O30" s="8">
        <f>80166.19+1113610.89+340.5+1770.6+1044.2</f>
        <v>1196932.3799999999</v>
      </c>
      <c r="P30" s="8">
        <v>548008</v>
      </c>
      <c r="Q30" s="8">
        <v>519600</v>
      </c>
      <c r="R30" s="8">
        <v>804228</v>
      </c>
      <c r="S30" s="3">
        <v>830919.81</v>
      </c>
      <c r="T30" s="8">
        <v>1824761</v>
      </c>
      <c r="U30" s="8">
        <v>1497317</v>
      </c>
      <c r="V30" s="8">
        <v>4059964.48</v>
      </c>
      <c r="W30" s="8"/>
    </row>
    <row r="31" spans="1:23" ht="17" customHeight="1">
      <c r="A31" s="10" t="s">
        <v>48</v>
      </c>
      <c r="B31" s="8"/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1675.8</v>
      </c>
      <c r="J31" s="8">
        <v>5478</v>
      </c>
      <c r="K31" s="8">
        <v>9688.06</v>
      </c>
      <c r="L31" s="8">
        <v>3182.4</v>
      </c>
      <c r="M31" s="8">
        <v>0</v>
      </c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 ht="17" customHeight="1">
      <c r="A32" s="10" t="s">
        <v>49</v>
      </c>
      <c r="B32" s="8">
        <v>594.9</v>
      </c>
      <c r="C32" s="8">
        <v>0</v>
      </c>
      <c r="D32" s="8">
        <v>0</v>
      </c>
      <c r="E32" s="8">
        <v>0</v>
      </c>
      <c r="F32" s="8">
        <v>159.55000000000001</v>
      </c>
      <c r="G32" s="8">
        <v>4914.54</v>
      </c>
      <c r="H32" s="8">
        <v>78953.23</v>
      </c>
      <c r="I32" s="8">
        <v>202027</v>
      </c>
      <c r="J32" s="8">
        <v>65425.58</v>
      </c>
      <c r="K32" s="8">
        <v>0</v>
      </c>
      <c r="L32" s="8">
        <v>0</v>
      </c>
      <c r="M32" s="8">
        <v>0</v>
      </c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 ht="17" customHeight="1">
      <c r="A33" s="10" t="s">
        <v>50</v>
      </c>
      <c r="B33" s="8">
        <v>682.15200000000004</v>
      </c>
      <c r="C33" s="8">
        <v>0</v>
      </c>
      <c r="D33" s="8">
        <v>277.62</v>
      </c>
      <c r="E33" s="8">
        <v>0</v>
      </c>
      <c r="F33" s="8">
        <v>1286.3900000000001</v>
      </c>
      <c r="G33" s="8">
        <v>397369.8</v>
      </c>
      <c r="H33" s="8">
        <v>45171.82</v>
      </c>
      <c r="I33" s="8">
        <v>49000.39</v>
      </c>
      <c r="J33" s="8">
        <v>79792.55</v>
      </c>
      <c r="K33" s="8">
        <v>15994.66</v>
      </c>
      <c r="L33" s="8">
        <v>38918.980000000003</v>
      </c>
      <c r="M33" s="8">
        <v>0</v>
      </c>
      <c r="N33" s="8"/>
      <c r="O33" s="8"/>
      <c r="P33" s="8">
        <v>1069121.69</v>
      </c>
      <c r="Q33" s="8"/>
      <c r="R33" s="8">
        <v>1262117</v>
      </c>
      <c r="S33" s="8">
        <v>3804679.22</v>
      </c>
      <c r="T33" s="8">
        <v>2910474.2400000002</v>
      </c>
      <c r="U33" s="8">
        <v>3424943.2</v>
      </c>
      <c r="V33" s="8"/>
      <c r="W33" s="8"/>
    </row>
    <row r="34" spans="1:23" ht="17" customHeight="1">
      <c r="A34" s="10" t="s">
        <v>51</v>
      </c>
      <c r="B34" s="8"/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29220.28</v>
      </c>
      <c r="I34" s="8">
        <v>33326.080000000002</v>
      </c>
      <c r="J34" s="8">
        <v>175471.3</v>
      </c>
      <c r="K34" s="8">
        <v>0</v>
      </c>
      <c r="L34" s="8">
        <v>0</v>
      </c>
      <c r="M34" s="8">
        <v>0</v>
      </c>
      <c r="N34" s="8"/>
      <c r="O34" s="8"/>
      <c r="P34" s="8">
        <v>422880</v>
      </c>
      <c r="Q34" s="8"/>
      <c r="R34" s="8"/>
      <c r="S34" s="8"/>
      <c r="T34" s="8"/>
      <c r="U34" s="8"/>
      <c r="V34" s="8"/>
      <c r="W34" s="8"/>
    </row>
    <row r="35" spans="1:23" ht="17" customHeight="1">
      <c r="A35" s="10" t="s">
        <v>52</v>
      </c>
      <c r="B35" s="8"/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39249.599999999999</v>
      </c>
      <c r="L35" s="8">
        <v>23311.08</v>
      </c>
      <c r="M35" s="8">
        <v>0</v>
      </c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 ht="17" customHeight="1">
      <c r="A36" s="10" t="s">
        <v>53</v>
      </c>
      <c r="B36" s="8"/>
      <c r="C36" s="8">
        <v>1322</v>
      </c>
      <c r="D36" s="8">
        <v>0</v>
      </c>
      <c r="E36" s="8">
        <v>0</v>
      </c>
      <c r="F36" s="8">
        <v>0</v>
      </c>
      <c r="G36" s="8">
        <v>0</v>
      </c>
      <c r="H36" s="8">
        <v>5094.5</v>
      </c>
      <c r="I36" s="8">
        <v>14011.55</v>
      </c>
      <c r="J36" s="8">
        <v>96408.24</v>
      </c>
      <c r="K36" s="8">
        <v>278934.12</v>
      </c>
      <c r="L36" s="8">
        <v>22771.84</v>
      </c>
      <c r="M36" s="8">
        <v>0</v>
      </c>
      <c r="N36" s="8"/>
      <c r="O36" s="8"/>
      <c r="P36" s="8"/>
      <c r="Q36" s="8"/>
      <c r="R36" s="8">
        <v>307163.34000000003</v>
      </c>
      <c r="S36" s="8"/>
      <c r="T36" s="8"/>
      <c r="U36" s="8"/>
      <c r="V36" s="8"/>
      <c r="W36" s="8"/>
    </row>
    <row r="37" spans="1:23" ht="17" customHeight="1">
      <c r="A37" s="10" t="s">
        <v>54</v>
      </c>
      <c r="B37" s="8"/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30232.799999999999</v>
      </c>
      <c r="M37" s="8">
        <v>249016.83</v>
      </c>
      <c r="N37" s="8">
        <v>73908.990000000005</v>
      </c>
      <c r="O37" s="8">
        <f>258943.85+14554.19</f>
        <v>273498.03999999998</v>
      </c>
      <c r="P37" s="8"/>
      <c r="Q37" s="8">
        <v>936453.95</v>
      </c>
      <c r="R37" s="8"/>
      <c r="S37" s="8"/>
      <c r="T37" s="8"/>
      <c r="U37" s="8"/>
      <c r="V37" s="8"/>
      <c r="W37" s="8"/>
    </row>
    <row r="38" spans="1:23" ht="17" customHeight="1">
      <c r="A38" s="10" t="s">
        <v>55</v>
      </c>
      <c r="B38" s="8"/>
      <c r="C38" s="8">
        <v>0</v>
      </c>
      <c r="D38" s="8">
        <v>0</v>
      </c>
      <c r="E38" s="8">
        <v>0</v>
      </c>
      <c r="F38" s="8">
        <v>12028.73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 ht="17" customHeight="1">
      <c r="A39" s="10" t="s">
        <v>56</v>
      </c>
      <c r="B39" s="8"/>
      <c r="C39" s="8">
        <v>0</v>
      </c>
      <c r="D39" s="8">
        <v>0</v>
      </c>
      <c r="E39" s="8">
        <v>0</v>
      </c>
      <c r="F39" s="8">
        <v>0</v>
      </c>
      <c r="G39" s="8">
        <v>43761.81</v>
      </c>
      <c r="H39" s="8">
        <v>194920</v>
      </c>
      <c r="I39" s="8">
        <v>70336.87</v>
      </c>
      <c r="J39" s="8">
        <v>0</v>
      </c>
      <c r="K39" s="8">
        <v>0</v>
      </c>
      <c r="L39" s="8">
        <v>2641.13</v>
      </c>
      <c r="M39" s="8">
        <v>12213.94</v>
      </c>
      <c r="N39" s="8"/>
      <c r="O39" s="8">
        <v>41211.25</v>
      </c>
      <c r="P39" s="8"/>
      <c r="Q39" s="8"/>
      <c r="R39" s="8"/>
      <c r="S39" s="8"/>
      <c r="T39" s="8"/>
      <c r="U39" s="8"/>
      <c r="V39" s="8"/>
      <c r="W39" s="8"/>
    </row>
    <row r="40" spans="1:23" ht="17" customHeight="1">
      <c r="A40" s="10" t="s">
        <v>57</v>
      </c>
      <c r="B40" s="8"/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38966.839999999997</v>
      </c>
      <c r="K40" s="8">
        <v>201673.68</v>
      </c>
      <c r="L40" s="8">
        <v>101412.48</v>
      </c>
      <c r="M40" s="8">
        <v>0</v>
      </c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 ht="17" customHeight="1">
      <c r="A41" s="10" t="s">
        <v>58</v>
      </c>
      <c r="B41" s="8"/>
      <c r="C41" s="8">
        <v>0</v>
      </c>
      <c r="D41" s="8">
        <v>0</v>
      </c>
      <c r="E41" s="8">
        <v>0</v>
      </c>
      <c r="F41" s="8">
        <v>0</v>
      </c>
      <c r="G41" s="8">
        <v>1047.03</v>
      </c>
      <c r="H41" s="8">
        <v>4780.33</v>
      </c>
      <c r="I41" s="8">
        <v>3372.08</v>
      </c>
      <c r="J41" s="8">
        <v>1875.3</v>
      </c>
      <c r="K41" s="8">
        <v>60561.599999999999</v>
      </c>
      <c r="L41" s="8">
        <v>9724</v>
      </c>
      <c r="M41" s="8">
        <v>9992.49</v>
      </c>
      <c r="N41" s="8">
        <f>58274.58-1992.53</f>
        <v>56282.05</v>
      </c>
      <c r="O41" s="8">
        <v>21075.68</v>
      </c>
      <c r="P41" s="8">
        <v>825254.56</v>
      </c>
      <c r="Q41" s="8">
        <v>217002.66</v>
      </c>
      <c r="R41" s="8">
        <v>45343.99</v>
      </c>
      <c r="S41" s="8">
        <v>39133.120000000003</v>
      </c>
      <c r="T41" s="8">
        <v>67076.490000000005</v>
      </c>
      <c r="U41" s="22">
        <v>124856.73</v>
      </c>
      <c r="V41" s="22"/>
      <c r="W41" s="22">
        <v>4576756.5199999996</v>
      </c>
    </row>
    <row r="42" spans="1:23" ht="17" customHeight="1">
      <c r="A42" s="10" t="s">
        <v>59</v>
      </c>
      <c r="B42" s="8">
        <v>168.55500000000001</v>
      </c>
      <c r="C42" s="8">
        <v>280.93</v>
      </c>
      <c r="D42" s="8">
        <v>439.57</v>
      </c>
      <c r="E42" s="8">
        <v>1197.18</v>
      </c>
      <c r="F42" s="8">
        <v>1504.11</v>
      </c>
      <c r="G42" s="8">
        <v>2723.61</v>
      </c>
      <c r="H42" s="8">
        <v>7505.5</v>
      </c>
      <c r="I42" s="8">
        <v>7510.35</v>
      </c>
      <c r="J42" s="8">
        <v>9415.26</v>
      </c>
      <c r="K42" s="8">
        <v>7161.6</v>
      </c>
      <c r="L42" s="8">
        <v>5722.1</v>
      </c>
      <c r="M42" s="8">
        <v>5165.46</v>
      </c>
      <c r="N42" s="8">
        <v>1992.53</v>
      </c>
      <c r="O42" s="8">
        <v>8413.15</v>
      </c>
      <c r="P42" s="8"/>
      <c r="Q42" s="8"/>
      <c r="R42" s="8">
        <v>65991.45</v>
      </c>
      <c r="S42" s="8">
        <v>15412.25</v>
      </c>
      <c r="T42" s="8">
        <v>65533.65</v>
      </c>
      <c r="U42" s="8">
        <v>36322.92</v>
      </c>
      <c r="V42" s="8"/>
      <c r="W42" s="8">
        <v>-2845070.45</v>
      </c>
    </row>
    <row r="43" spans="1:23" ht="17" customHeight="1">
      <c r="A43" s="10" t="s">
        <v>111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22">
        <v>158037.9</v>
      </c>
      <c r="V43" s="22"/>
      <c r="W43" s="22"/>
    </row>
    <row r="44" spans="1:23" ht="17" customHeight="1">
      <c r="A44" s="12" t="s">
        <v>60</v>
      </c>
      <c r="B44" s="8"/>
      <c r="C44" s="8">
        <v>0</v>
      </c>
      <c r="D44" s="8">
        <v>172591.88</v>
      </c>
      <c r="E44" s="8">
        <v>192958.25</v>
      </c>
      <c r="F44" s="8">
        <v>216980.11</v>
      </c>
      <c r="G44" s="8">
        <v>51572.75</v>
      </c>
      <c r="H44" s="8">
        <v>53442.63</v>
      </c>
      <c r="I44" s="8">
        <v>56156.800000000003</v>
      </c>
      <c r="J44" s="8">
        <v>3333868.53</v>
      </c>
      <c r="K44" s="8">
        <v>3254327.93</v>
      </c>
      <c r="L44" s="8">
        <v>3233821.13</v>
      </c>
      <c r="M44" s="8">
        <v>0</v>
      </c>
      <c r="N44" s="8"/>
      <c r="O44" s="8"/>
      <c r="P44" s="8">
        <v>9689353.5899999999</v>
      </c>
      <c r="Q44" s="8"/>
      <c r="R44" s="8">
        <v>19598669.710000001</v>
      </c>
      <c r="S44" s="8"/>
      <c r="T44" s="8"/>
      <c r="U44" s="8"/>
      <c r="V44" s="8"/>
      <c r="W44" s="8"/>
    </row>
    <row r="45" spans="1:23" ht="17" customHeight="1">
      <c r="A45" s="13" t="s">
        <v>61</v>
      </c>
      <c r="B45" s="8">
        <v>132200</v>
      </c>
      <c r="C45" s="8">
        <v>998644.75</v>
      </c>
      <c r="D45" s="8">
        <v>0</v>
      </c>
      <c r="E45" s="8">
        <v>948136.08</v>
      </c>
      <c r="F45" s="8">
        <v>914900.25</v>
      </c>
      <c r="G45" s="14">
        <v>879362.11</v>
      </c>
      <c r="H45" s="14">
        <v>0</v>
      </c>
      <c r="I45" s="14">
        <v>892772.72</v>
      </c>
      <c r="J45" s="14">
        <v>0</v>
      </c>
      <c r="K45" s="14">
        <v>0</v>
      </c>
      <c r="L45" s="14">
        <v>0</v>
      </c>
      <c r="M45" s="14">
        <v>0</v>
      </c>
      <c r="N45" s="14"/>
      <c r="O45" s="14"/>
      <c r="P45" s="14">
        <v>282022.2</v>
      </c>
      <c r="Q45" s="14"/>
      <c r="R45" s="14"/>
      <c r="S45" s="14"/>
      <c r="T45" s="14"/>
      <c r="U45" s="14"/>
      <c r="V45" s="14"/>
      <c r="W45" s="14"/>
    </row>
    <row r="46" spans="1:23" ht="17" customHeight="1">
      <c r="A46" s="15" t="s">
        <v>62</v>
      </c>
      <c r="B46" s="8"/>
      <c r="C46" s="8">
        <v>1334157.2</v>
      </c>
      <c r="D46" s="8">
        <v>1941172.3</v>
      </c>
      <c r="E46" s="8">
        <v>5888936.1600000001</v>
      </c>
      <c r="F46" s="8">
        <v>6685034.3799999999</v>
      </c>
      <c r="G46" s="8">
        <v>0</v>
      </c>
      <c r="H46" s="8">
        <v>202921.68</v>
      </c>
      <c r="I46" s="8">
        <v>158935.38</v>
      </c>
      <c r="J46" s="8">
        <v>0</v>
      </c>
      <c r="K46" s="8">
        <v>0</v>
      </c>
      <c r="L46" s="8">
        <v>0</v>
      </c>
      <c r="M46" s="8">
        <v>0</v>
      </c>
      <c r="N46" s="8"/>
      <c r="O46" s="8"/>
      <c r="P46" s="8"/>
      <c r="Q46" s="8">
        <v>1317956.6399999999</v>
      </c>
      <c r="R46" s="8"/>
      <c r="S46" s="8">
        <v>2898886.4</v>
      </c>
      <c r="T46" s="8"/>
      <c r="U46" s="8"/>
      <c r="V46" s="8"/>
      <c r="W46" s="8"/>
    </row>
    <row r="47" spans="1:23" ht="17" customHeight="1">
      <c r="A47" s="15" t="s">
        <v>63</v>
      </c>
      <c r="B47" s="8"/>
      <c r="C47" s="8">
        <v>0</v>
      </c>
      <c r="D47" s="8">
        <v>0</v>
      </c>
      <c r="E47" s="8">
        <v>0</v>
      </c>
      <c r="F47" s="8">
        <v>791468.91</v>
      </c>
      <c r="G47" s="8">
        <v>0</v>
      </c>
      <c r="H47" s="8">
        <v>919813.92</v>
      </c>
      <c r="I47" s="8">
        <v>1763824.6</v>
      </c>
      <c r="J47" s="8">
        <v>2791339.56</v>
      </c>
      <c r="K47" s="8">
        <v>2056033.41</v>
      </c>
      <c r="L47" s="8">
        <v>530400</v>
      </c>
      <c r="M47" s="8">
        <v>1262330.02</v>
      </c>
      <c r="N47" s="8"/>
      <c r="O47" s="8">
        <f>5285497.88-1062360</f>
        <v>4223137.88</v>
      </c>
      <c r="P47" s="8">
        <v>5079353.5199999996</v>
      </c>
      <c r="Q47" s="8">
        <v>3899024.2</v>
      </c>
      <c r="R47" s="8">
        <v>934992.04</v>
      </c>
      <c r="S47" s="8">
        <v>4296810.4400000004</v>
      </c>
      <c r="T47" s="8">
        <v>7500910.8099999996</v>
      </c>
      <c r="U47" s="8">
        <v>6327980.0300000003</v>
      </c>
      <c r="V47" s="8">
        <v>5684189.2699999996</v>
      </c>
      <c r="W47" s="8">
        <v>7306252.1900000004</v>
      </c>
    </row>
    <row r="48" spans="1:23" ht="17" customHeight="1">
      <c r="A48" s="15" t="s">
        <v>64</v>
      </c>
      <c r="B48" s="8"/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3749015.23</v>
      </c>
      <c r="L48" s="8">
        <v>0</v>
      </c>
      <c r="M48" s="8">
        <v>0</v>
      </c>
      <c r="N48" s="8"/>
      <c r="O48" s="8">
        <v>1062360</v>
      </c>
      <c r="P48" s="8"/>
      <c r="Q48" s="8"/>
      <c r="R48" s="8"/>
      <c r="S48" s="8"/>
      <c r="T48" s="8"/>
      <c r="U48" s="8"/>
      <c r="V48" s="8"/>
      <c r="W48" s="8"/>
    </row>
    <row r="49" spans="1:23" ht="17" customHeight="1">
      <c r="A49" s="15" t="s">
        <v>65</v>
      </c>
      <c r="B49" s="8"/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76879.009999999995</v>
      </c>
      <c r="K49" s="8">
        <v>702099.84</v>
      </c>
      <c r="L49" s="8">
        <v>1271470.3899999999</v>
      </c>
      <c r="M49" s="8">
        <v>1666561.14</v>
      </c>
      <c r="N49" s="8">
        <f>5877748.97-395312.26</f>
        <v>5482436.71</v>
      </c>
      <c r="O49" s="8">
        <v>4255949.53</v>
      </c>
      <c r="P49" s="8">
        <v>197672.89</v>
      </c>
      <c r="Q49" s="8">
        <v>686674.11</v>
      </c>
      <c r="R49" s="8">
        <v>736890.87</v>
      </c>
      <c r="S49" s="8">
        <v>276.58999999999997</v>
      </c>
      <c r="T49" s="8">
        <v>645881.94999999995</v>
      </c>
      <c r="U49" s="8">
        <f>212922.26+607963.61</f>
        <v>820885.87</v>
      </c>
      <c r="V49" s="8"/>
      <c r="W49" s="8"/>
    </row>
    <row r="50" spans="1:23" ht="17" customHeight="1">
      <c r="A50" s="15" t="s">
        <v>66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>
        <v>3448215.32</v>
      </c>
      <c r="Q50" s="8"/>
      <c r="R50" s="8"/>
      <c r="S50" s="8"/>
      <c r="T50" s="8"/>
      <c r="U50" s="8"/>
      <c r="V50" s="8"/>
      <c r="W50" s="8"/>
    </row>
    <row r="51" spans="1:23" ht="17" customHeight="1">
      <c r="A51" s="15" t="s">
        <v>67</v>
      </c>
      <c r="B51" s="8"/>
      <c r="C51" s="8">
        <v>19605.72</v>
      </c>
      <c r="D51" s="8">
        <v>9886.18</v>
      </c>
      <c r="E51" s="8">
        <v>90733.58</v>
      </c>
      <c r="F51" s="8">
        <v>0</v>
      </c>
      <c r="G51" s="8">
        <v>0</v>
      </c>
      <c r="H51" s="8">
        <v>25641.83</v>
      </c>
      <c r="I51" s="8">
        <v>162438.31</v>
      </c>
      <c r="J51" s="8">
        <v>592756.05000000005</v>
      </c>
      <c r="K51" s="8">
        <v>79487.81</v>
      </c>
      <c r="L51" s="8">
        <v>1091850.21</v>
      </c>
      <c r="M51" s="8">
        <v>70022.97</v>
      </c>
      <c r="N51" s="8"/>
      <c r="O51" s="8">
        <v>1067539.3700000001</v>
      </c>
      <c r="P51" s="8"/>
      <c r="Q51" s="8">
        <v>1415390.08</v>
      </c>
      <c r="R51" s="8">
        <v>329062.87</v>
      </c>
      <c r="S51" s="8">
        <v>10696443.84</v>
      </c>
      <c r="T51" s="8">
        <v>6475128.3499999996</v>
      </c>
      <c r="U51" s="8">
        <v>13610366.41</v>
      </c>
      <c r="V51" s="8">
        <v>16751023.92</v>
      </c>
      <c r="W51" s="8">
        <v>681224.72</v>
      </c>
    </row>
    <row r="52" spans="1:23" ht="17" customHeight="1">
      <c r="A52" s="15" t="s">
        <v>68</v>
      </c>
      <c r="B52" s="8"/>
      <c r="C52" s="8">
        <v>7075.87</v>
      </c>
      <c r="D52" s="8">
        <v>14490.18</v>
      </c>
      <c r="E52" s="8">
        <v>19426.98</v>
      </c>
      <c r="F52" s="8">
        <v>40459.730000000003</v>
      </c>
      <c r="G52" s="8">
        <v>0</v>
      </c>
      <c r="H52" s="8">
        <v>130648.3</v>
      </c>
      <c r="I52" s="8">
        <v>112762.72</v>
      </c>
      <c r="J52" s="8">
        <v>20099.7</v>
      </c>
      <c r="K52" s="8">
        <v>223219.43</v>
      </c>
      <c r="L52" s="8">
        <v>0</v>
      </c>
      <c r="M52" s="8">
        <v>0</v>
      </c>
      <c r="N52" s="8"/>
      <c r="O52" s="8">
        <v>427673.74</v>
      </c>
      <c r="P52" s="8">
        <v>1429075.21</v>
      </c>
      <c r="Q52" s="8">
        <v>81209.440000000002</v>
      </c>
      <c r="R52" s="8"/>
      <c r="S52" s="8"/>
      <c r="T52" s="8"/>
      <c r="U52" s="8"/>
      <c r="V52" s="8"/>
      <c r="W52" s="8"/>
    </row>
    <row r="53" spans="1:23" ht="17" customHeight="1">
      <c r="A53" s="15" t="s">
        <v>69</v>
      </c>
      <c r="B53" s="8"/>
      <c r="C53" s="8">
        <v>41965.57</v>
      </c>
      <c r="D53" s="8">
        <v>0</v>
      </c>
      <c r="E53" s="8">
        <v>54212.15</v>
      </c>
      <c r="F53" s="8">
        <v>23792.32</v>
      </c>
      <c r="G53" s="8">
        <v>0</v>
      </c>
      <c r="H53" s="8">
        <v>40466.75</v>
      </c>
      <c r="I53" s="8">
        <v>0</v>
      </c>
      <c r="J53" s="8">
        <v>0</v>
      </c>
      <c r="K53" s="8">
        <v>854695.56</v>
      </c>
      <c r="L53" s="8">
        <v>0</v>
      </c>
      <c r="M53" s="8">
        <v>0</v>
      </c>
      <c r="N53" s="8"/>
      <c r="O53" s="8">
        <v>272355.51</v>
      </c>
      <c r="P53" s="8"/>
      <c r="Q53" s="8"/>
      <c r="R53" s="8"/>
      <c r="S53" s="8"/>
      <c r="T53" s="8"/>
      <c r="U53" s="8"/>
      <c r="V53" s="8"/>
      <c r="W53" s="8"/>
    </row>
    <row r="54" spans="1:23" ht="17" customHeight="1">
      <c r="A54" s="15" t="s">
        <v>70</v>
      </c>
      <c r="B54" s="8"/>
      <c r="C54" s="8">
        <v>0</v>
      </c>
      <c r="D54" s="8">
        <v>0</v>
      </c>
      <c r="E54" s="8">
        <v>0</v>
      </c>
      <c r="F54" s="8">
        <v>7582.52</v>
      </c>
      <c r="G54" s="8">
        <v>0</v>
      </c>
      <c r="H54" s="8">
        <v>114327.53</v>
      </c>
      <c r="I54" s="8">
        <v>0</v>
      </c>
      <c r="J54" s="8">
        <v>1242095.53</v>
      </c>
      <c r="K54" s="8">
        <v>554964.47999999998</v>
      </c>
      <c r="L54" s="8">
        <v>0</v>
      </c>
      <c r="M54" s="8">
        <v>326781.31</v>
      </c>
      <c r="N54" s="8"/>
      <c r="O54" s="8">
        <v>159325.04</v>
      </c>
      <c r="P54" s="8"/>
      <c r="Q54" s="8"/>
      <c r="R54" s="8"/>
      <c r="S54" s="8"/>
      <c r="T54" s="8"/>
      <c r="U54" s="8"/>
      <c r="V54" s="8"/>
      <c r="W54" s="8"/>
    </row>
    <row r="55" spans="1:23" ht="17" customHeight="1">
      <c r="A55" s="15" t="s">
        <v>71</v>
      </c>
      <c r="B55" s="8"/>
      <c r="C55" s="8">
        <v>0</v>
      </c>
      <c r="D55" s="8">
        <v>0</v>
      </c>
      <c r="E55" s="8">
        <v>0</v>
      </c>
      <c r="F55" s="8">
        <v>400662.25</v>
      </c>
      <c r="G55" s="8">
        <v>0</v>
      </c>
      <c r="H55" s="8">
        <v>4429122.8600000003</v>
      </c>
      <c r="I55" s="8">
        <v>0</v>
      </c>
      <c r="J55" s="8">
        <v>0</v>
      </c>
      <c r="K55" s="8">
        <v>0</v>
      </c>
      <c r="L55" s="8">
        <v>4415359</v>
      </c>
      <c r="M55" s="8">
        <v>5418948.2800000003</v>
      </c>
      <c r="N55" s="8"/>
      <c r="O55" s="8"/>
      <c r="P55" s="8"/>
      <c r="Q55" s="8">
        <v>54475.79</v>
      </c>
      <c r="R55" s="8">
        <v>3741585.21</v>
      </c>
      <c r="S55" s="8"/>
      <c r="T55" s="8">
        <v>2740903.2</v>
      </c>
      <c r="U55" s="8">
        <v>2863854</v>
      </c>
      <c r="V55" s="8"/>
      <c r="W55" s="8"/>
    </row>
    <row r="56" spans="1:23" ht="17" customHeight="1">
      <c r="A56" s="15" t="s">
        <v>72</v>
      </c>
      <c r="B56" s="8"/>
      <c r="C56" s="8">
        <v>0</v>
      </c>
      <c r="D56" s="8">
        <v>0</v>
      </c>
      <c r="E56" s="8">
        <v>48572.480000000003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/>
      <c r="O56" s="8">
        <v>965690.69</v>
      </c>
      <c r="P56" s="8"/>
      <c r="Q56" s="8"/>
      <c r="R56" s="8"/>
      <c r="S56" s="8"/>
      <c r="T56" s="8"/>
      <c r="U56" s="8"/>
      <c r="V56" s="8"/>
      <c r="W56" s="8"/>
    </row>
    <row r="57" spans="1:23" ht="17" customHeight="1">
      <c r="A57" s="15" t="s">
        <v>73</v>
      </c>
      <c r="B57" s="8"/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169273.84</v>
      </c>
      <c r="I57" s="8">
        <v>372400</v>
      </c>
      <c r="J57" s="8">
        <v>0</v>
      </c>
      <c r="K57" s="8">
        <v>0</v>
      </c>
      <c r="L57" s="8">
        <v>0</v>
      </c>
      <c r="M57" s="8">
        <v>0</v>
      </c>
      <c r="N57" s="8"/>
      <c r="O57" s="8">
        <v>135052.70000000001</v>
      </c>
      <c r="P57" s="8"/>
      <c r="Q57" s="8"/>
      <c r="R57" s="8"/>
      <c r="S57" s="8"/>
      <c r="T57" s="8"/>
      <c r="U57" s="8"/>
      <c r="V57" s="8"/>
      <c r="W57" s="8"/>
    </row>
    <row r="58" spans="1:23" ht="17" customHeight="1">
      <c r="A58" s="10" t="s">
        <v>74</v>
      </c>
      <c r="B58" s="8"/>
      <c r="C58" s="8">
        <v>3180</v>
      </c>
      <c r="D58" s="8">
        <v>9013.9599999999991</v>
      </c>
      <c r="E58" s="8">
        <v>12659.15</v>
      </c>
      <c r="F58" s="8">
        <v>5871.25</v>
      </c>
      <c r="G58" s="8">
        <v>0</v>
      </c>
      <c r="H58" s="8">
        <v>30096.89</v>
      </c>
      <c r="I58" s="8">
        <v>0</v>
      </c>
      <c r="J58" s="8">
        <v>161044.76</v>
      </c>
      <c r="K58" s="8">
        <v>126459.81</v>
      </c>
      <c r="L58" s="8">
        <v>432766.45</v>
      </c>
      <c r="M58" s="8">
        <v>199189.68</v>
      </c>
      <c r="N58" s="8"/>
      <c r="O58" s="8">
        <v>197854.83</v>
      </c>
      <c r="P58" s="8"/>
      <c r="Q58" s="8">
        <v>443454.02</v>
      </c>
      <c r="R58" s="8"/>
      <c r="S58" s="8"/>
      <c r="T58" s="8"/>
      <c r="U58" s="8"/>
      <c r="V58" s="8"/>
      <c r="W58" s="8"/>
    </row>
    <row r="59" spans="1:23" ht="17" customHeight="1">
      <c r="A59" s="15" t="s">
        <v>75</v>
      </c>
      <c r="B59" s="8"/>
      <c r="C59" s="8">
        <v>0</v>
      </c>
      <c r="D59" s="8">
        <v>0</v>
      </c>
      <c r="E59" s="8">
        <v>37023.9</v>
      </c>
      <c r="F59" s="8">
        <v>41633.1</v>
      </c>
      <c r="G59" s="8">
        <v>0</v>
      </c>
      <c r="H59" s="8">
        <v>46515</v>
      </c>
      <c r="I59" s="8">
        <v>195510</v>
      </c>
      <c r="J59" s="8">
        <v>0</v>
      </c>
      <c r="K59" s="8">
        <v>133200</v>
      </c>
      <c r="L59" s="8">
        <v>70720</v>
      </c>
      <c r="M59" s="8">
        <v>5885.04</v>
      </c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 ht="17" customHeight="1">
      <c r="A60" s="10" t="s">
        <v>76</v>
      </c>
      <c r="B60" s="8"/>
      <c r="C60" s="8">
        <v>0</v>
      </c>
      <c r="D60" s="8">
        <v>0</v>
      </c>
      <c r="E60" s="8">
        <v>0</v>
      </c>
      <c r="F60" s="8">
        <v>217910.8</v>
      </c>
      <c r="G60" s="8">
        <v>120950.39</v>
      </c>
      <c r="H60" s="8">
        <v>2739259.03</v>
      </c>
      <c r="I60" s="8">
        <v>3143063.3</v>
      </c>
      <c r="J60" s="8">
        <v>3561903.81</v>
      </c>
      <c r="K60" s="8">
        <v>3516183.99</v>
      </c>
      <c r="L60" s="8">
        <v>2758142.54</v>
      </c>
      <c r="M60" s="8">
        <v>0</v>
      </c>
      <c r="N60" s="8"/>
      <c r="O60" s="8">
        <v>453349.2</v>
      </c>
      <c r="P60" s="8">
        <v>4363580.83</v>
      </c>
      <c r="Q60" s="8">
        <v>723872.66</v>
      </c>
      <c r="R60" s="8">
        <v>3167606.57</v>
      </c>
      <c r="S60" s="8">
        <v>1511313.64</v>
      </c>
      <c r="T60" s="8">
        <v>432966.59</v>
      </c>
      <c r="U60" s="8">
        <v>1910000</v>
      </c>
      <c r="V60" s="8"/>
      <c r="W60" s="8"/>
    </row>
    <row r="61" spans="1:23" ht="17" customHeight="1">
      <c r="A61" s="10" t="s">
        <v>77</v>
      </c>
      <c r="B61" s="8"/>
      <c r="C61" s="8">
        <v>0</v>
      </c>
      <c r="D61" s="8">
        <v>0</v>
      </c>
      <c r="E61" s="8">
        <v>23648</v>
      </c>
      <c r="F61" s="8">
        <v>662265.44999999995</v>
      </c>
      <c r="G61" s="8">
        <v>0</v>
      </c>
      <c r="H61" s="8">
        <v>613998</v>
      </c>
      <c r="I61" s="8">
        <v>712633.95</v>
      </c>
      <c r="J61" s="8">
        <v>0</v>
      </c>
      <c r="K61" s="8">
        <v>0</v>
      </c>
      <c r="L61" s="8">
        <v>0</v>
      </c>
      <c r="M61" s="8">
        <v>0</v>
      </c>
      <c r="N61" s="8"/>
      <c r="O61" s="8">
        <v>211791</v>
      </c>
      <c r="P61" s="8"/>
      <c r="Q61" s="8"/>
      <c r="R61" s="8"/>
      <c r="S61" s="8"/>
      <c r="T61" s="8">
        <v>690984</v>
      </c>
      <c r="U61" s="8"/>
      <c r="V61" s="8"/>
      <c r="W61" s="8"/>
    </row>
    <row r="62" spans="1:23" ht="17" customHeight="1">
      <c r="A62" s="10" t="s">
        <v>78</v>
      </c>
      <c r="B62" s="8"/>
      <c r="C62" s="8">
        <v>0</v>
      </c>
      <c r="D62" s="8">
        <v>0</v>
      </c>
      <c r="E62" s="8">
        <v>0</v>
      </c>
      <c r="F62" s="8">
        <v>0</v>
      </c>
      <c r="G62" s="8">
        <v>208393.43</v>
      </c>
      <c r="H62" s="8">
        <v>310898.42</v>
      </c>
      <c r="I62" s="8">
        <v>0</v>
      </c>
      <c r="J62" s="8">
        <v>714818.23</v>
      </c>
      <c r="K62" s="8">
        <v>1800684.11</v>
      </c>
      <c r="L62" s="8">
        <v>0</v>
      </c>
      <c r="M62" s="8">
        <v>419465.85</v>
      </c>
      <c r="N62" s="8"/>
      <c r="O62" s="8">
        <v>122509.78</v>
      </c>
      <c r="P62" s="8"/>
      <c r="Q62" s="8"/>
      <c r="R62" s="8">
        <v>263581.59000000003</v>
      </c>
      <c r="S62" s="8"/>
      <c r="T62" s="8"/>
      <c r="U62" s="8"/>
      <c r="V62" s="8"/>
      <c r="W62" s="8"/>
    </row>
    <row r="63" spans="1:23" ht="17" customHeight="1">
      <c r="A63" s="10" t="s">
        <v>79</v>
      </c>
      <c r="B63" s="8"/>
      <c r="C63" s="8">
        <v>0</v>
      </c>
      <c r="D63" s="8">
        <v>0</v>
      </c>
      <c r="E63" s="8">
        <v>0</v>
      </c>
      <c r="F63" s="8">
        <v>0</v>
      </c>
      <c r="G63" s="8">
        <v>425217.15</v>
      </c>
      <c r="H63" s="8">
        <v>13323.23</v>
      </c>
      <c r="I63" s="8">
        <v>0</v>
      </c>
      <c r="J63" s="8">
        <v>0</v>
      </c>
      <c r="K63" s="8">
        <v>56388</v>
      </c>
      <c r="L63" s="8">
        <v>0</v>
      </c>
      <c r="M63" s="8">
        <v>0</v>
      </c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 ht="17" customHeight="1">
      <c r="A64" s="10" t="s">
        <v>80</v>
      </c>
      <c r="B64" s="8"/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3083535.21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/>
      <c r="O64" s="8">
        <v>973878.47</v>
      </c>
      <c r="P64" s="8"/>
      <c r="Q64" s="8">
        <v>640997.28</v>
      </c>
      <c r="R64" s="8"/>
      <c r="S64" s="8"/>
      <c r="T64" s="8"/>
      <c r="U64" s="8"/>
      <c r="V64" s="8"/>
      <c r="W64" s="8"/>
    </row>
    <row r="65" spans="1:23" ht="17" customHeight="1">
      <c r="A65" s="10" t="s">
        <v>81</v>
      </c>
      <c r="B65" s="8"/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1044198.45</v>
      </c>
      <c r="K65" s="8">
        <v>0</v>
      </c>
      <c r="L65" s="8">
        <v>0</v>
      </c>
      <c r="M65" s="8">
        <v>0</v>
      </c>
      <c r="N65" s="8"/>
      <c r="O65" s="8">
        <v>188920.26</v>
      </c>
      <c r="P65" s="8"/>
      <c r="Q65" s="8"/>
      <c r="R65" s="8"/>
      <c r="S65" s="8"/>
      <c r="T65" s="8"/>
      <c r="U65" s="8"/>
      <c r="V65" s="8"/>
      <c r="W65" s="8"/>
    </row>
    <row r="66" spans="1:23" ht="17" customHeight="1">
      <c r="A66" s="10" t="s">
        <v>82</v>
      </c>
      <c r="B66" s="8"/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712080.39</v>
      </c>
      <c r="L66" s="8">
        <v>0</v>
      </c>
      <c r="M66" s="8">
        <v>76411.990000000005</v>
      </c>
      <c r="N66" s="8"/>
      <c r="O66" s="8">
        <v>122491.02</v>
      </c>
      <c r="P66" s="8"/>
      <c r="Q66" s="8"/>
      <c r="R66" s="8"/>
      <c r="S66" s="8"/>
      <c r="T66" s="8"/>
      <c r="U66" s="8"/>
      <c r="V66" s="8"/>
      <c r="W66" s="8"/>
    </row>
    <row r="67" spans="1:23" ht="17" customHeight="1">
      <c r="A67" s="10" t="s">
        <v>83</v>
      </c>
      <c r="B67" s="8"/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1182474.73</v>
      </c>
      <c r="K67" s="8">
        <v>0</v>
      </c>
      <c r="L67" s="8">
        <v>183236.4</v>
      </c>
      <c r="M67" s="8">
        <v>0</v>
      </c>
      <c r="N67" s="8"/>
      <c r="O67" s="8">
        <v>531180</v>
      </c>
      <c r="P67" s="8">
        <v>2643000</v>
      </c>
      <c r="Q67" s="8">
        <v>3088315.17</v>
      </c>
      <c r="R67" s="8"/>
      <c r="S67" s="8">
        <v>5446400</v>
      </c>
      <c r="T67" s="8"/>
      <c r="U67" s="8">
        <v>2462754</v>
      </c>
      <c r="V67" s="8"/>
      <c r="W67" s="8"/>
    </row>
    <row r="68" spans="1:23" ht="17" customHeight="1">
      <c r="A68" s="10" t="s">
        <v>84</v>
      </c>
      <c r="B68" s="8"/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230532.5</v>
      </c>
      <c r="K68" s="8">
        <v>195963.84</v>
      </c>
      <c r="L68" s="8">
        <v>110500</v>
      </c>
      <c r="M68" s="8">
        <v>0</v>
      </c>
      <c r="N68" s="8"/>
      <c r="O68" s="8"/>
      <c r="P68" s="8">
        <v>110125</v>
      </c>
      <c r="Q68" s="8"/>
      <c r="R68" s="8"/>
      <c r="S68" s="8"/>
      <c r="T68" s="8"/>
      <c r="U68" s="8"/>
      <c r="V68" s="8"/>
      <c r="W68" s="8"/>
    </row>
    <row r="69" spans="1:23" ht="17" customHeight="1">
      <c r="A69" s="10" t="s">
        <v>85</v>
      </c>
      <c r="B69" s="8"/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130156.18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 ht="17" customHeight="1">
      <c r="A70" s="10" t="s">
        <v>86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>
        <v>766883.77</v>
      </c>
      <c r="S70" s="8">
        <v>2197367.29</v>
      </c>
      <c r="T70" s="8">
        <v>88196.63</v>
      </c>
      <c r="U70" s="8">
        <v>4291129.68</v>
      </c>
      <c r="V70" s="8"/>
      <c r="W70" s="8"/>
    </row>
    <row r="71" spans="1:23" ht="17" customHeight="1">
      <c r="A71" s="10" t="s">
        <v>87</v>
      </c>
      <c r="B71" s="8"/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66875.28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/>
      <c r="O71" s="8"/>
      <c r="P71" s="8"/>
      <c r="Q71" s="8"/>
      <c r="R71" s="8"/>
      <c r="S71" s="8">
        <v>149116.48000000001</v>
      </c>
      <c r="T71" s="8">
        <v>368076.94</v>
      </c>
      <c r="U71" s="8">
        <v>654958.91</v>
      </c>
      <c r="V71" s="8"/>
      <c r="W71" s="8"/>
    </row>
    <row r="72" spans="1:23" ht="17" customHeight="1">
      <c r="A72" s="13" t="s">
        <v>88</v>
      </c>
      <c r="B72" s="8"/>
      <c r="C72" s="8">
        <v>0</v>
      </c>
      <c r="D72" s="8">
        <v>0</v>
      </c>
      <c r="E72" s="8">
        <v>0</v>
      </c>
      <c r="F72" s="8">
        <v>225608.19</v>
      </c>
      <c r="G72" s="8">
        <v>0</v>
      </c>
      <c r="H72" s="8">
        <v>509467.72</v>
      </c>
      <c r="I72" s="8">
        <v>72338.7</v>
      </c>
      <c r="J72" s="8">
        <v>93454.68</v>
      </c>
      <c r="K72" s="8">
        <v>488683.72</v>
      </c>
      <c r="L72" s="8">
        <v>295644.96000000002</v>
      </c>
      <c r="M72" s="8">
        <v>0</v>
      </c>
      <c r="N72" s="8">
        <v>3774</v>
      </c>
      <c r="O72" s="8">
        <v>2160764.42</v>
      </c>
      <c r="P72" s="8">
        <v>706482.71</v>
      </c>
      <c r="Q72" s="8">
        <v>1286406.2</v>
      </c>
      <c r="R72" s="8">
        <v>2663738.06</v>
      </c>
      <c r="S72" s="8">
        <v>5090841.1399999997</v>
      </c>
      <c r="T72" s="8">
        <v>1576091.55</v>
      </c>
      <c r="U72" s="8">
        <v>4579888.53</v>
      </c>
      <c r="V72" s="8">
        <v>4144298.7</v>
      </c>
      <c r="W72" s="8">
        <v>772000.38</v>
      </c>
    </row>
    <row r="73" spans="1:23" ht="17" customHeight="1">
      <c r="A73" s="13" t="s">
        <v>89</v>
      </c>
      <c r="B73" s="8"/>
      <c r="C73" s="8">
        <v>212181</v>
      </c>
      <c r="D73" s="8">
        <v>0</v>
      </c>
      <c r="E73" s="8">
        <v>0</v>
      </c>
      <c r="F73" s="8">
        <v>0</v>
      </c>
      <c r="G73" s="8">
        <v>0</v>
      </c>
      <c r="H73" s="8">
        <v>903720</v>
      </c>
      <c r="I73" s="8">
        <v>0</v>
      </c>
      <c r="J73" s="8">
        <v>121617.99</v>
      </c>
      <c r="K73" s="8">
        <v>0</v>
      </c>
      <c r="L73" s="8">
        <v>0</v>
      </c>
      <c r="M73" s="8">
        <v>0</v>
      </c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 ht="17" customHeight="1">
      <c r="A74" s="15" t="s">
        <v>90</v>
      </c>
      <c r="B74" s="8"/>
      <c r="C74" s="8">
        <v>0</v>
      </c>
      <c r="D74" s="8">
        <v>0</v>
      </c>
      <c r="E74" s="8">
        <v>22096.1</v>
      </c>
      <c r="F74" s="8">
        <v>0</v>
      </c>
      <c r="G74" s="8">
        <v>0</v>
      </c>
      <c r="H74" s="8">
        <v>0</v>
      </c>
      <c r="I74" s="8">
        <v>167207.6</v>
      </c>
      <c r="J74" s="8">
        <v>0</v>
      </c>
      <c r="K74" s="8">
        <v>0</v>
      </c>
      <c r="L74" s="8">
        <v>0</v>
      </c>
      <c r="M74" s="8">
        <v>0</v>
      </c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 ht="17" customHeight="1">
      <c r="A75" s="13" t="s">
        <v>91</v>
      </c>
      <c r="B75" s="8"/>
      <c r="C75" s="8">
        <v>65450.9</v>
      </c>
      <c r="D75" s="8">
        <v>0</v>
      </c>
      <c r="E75" s="8">
        <v>0</v>
      </c>
      <c r="F75" s="8">
        <v>9357.06</v>
      </c>
      <c r="G75" s="8">
        <v>6203.54</v>
      </c>
      <c r="H75" s="8">
        <v>163985.66</v>
      </c>
      <c r="I75" s="8">
        <v>0</v>
      </c>
      <c r="J75" s="8">
        <v>44626.89</v>
      </c>
      <c r="K75" s="8">
        <v>37899.839999999997</v>
      </c>
      <c r="L75" s="8">
        <v>0</v>
      </c>
      <c r="M75" s="8">
        <v>0</v>
      </c>
      <c r="N75" s="8">
        <v>69824.043839999998</v>
      </c>
      <c r="O75" s="8"/>
      <c r="P75" s="8"/>
      <c r="Q75" s="8"/>
      <c r="R75" s="8"/>
      <c r="S75" s="8"/>
      <c r="T75" s="8"/>
      <c r="U75" s="8"/>
      <c r="V75" s="8"/>
      <c r="W75" s="8"/>
    </row>
    <row r="76" spans="1:23" ht="17" customHeight="1">
      <c r="A76" s="13" t="s">
        <v>92</v>
      </c>
      <c r="B76" s="8"/>
      <c r="C76" s="8"/>
      <c r="D76" s="8"/>
      <c r="E76" s="8"/>
      <c r="F76" s="8"/>
      <c r="G76" s="8">
        <v>11430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/>
      <c r="O76" s="8"/>
      <c r="P76" s="8"/>
      <c r="Q76" s="8"/>
      <c r="R76" s="8"/>
      <c r="S76" s="8"/>
      <c r="T76" s="8">
        <v>269272.82</v>
      </c>
      <c r="U76" s="8"/>
      <c r="V76" s="8"/>
      <c r="W76" s="8"/>
    </row>
    <row r="77" spans="1:23" ht="17" customHeight="1">
      <c r="A77" s="13" t="s">
        <v>93</v>
      </c>
      <c r="B77" s="8"/>
      <c r="C77" s="8">
        <v>13128.78</v>
      </c>
      <c r="D77" s="8">
        <v>0</v>
      </c>
      <c r="E77" s="8">
        <v>49483.44</v>
      </c>
      <c r="F77" s="8">
        <v>17201.7</v>
      </c>
      <c r="G77" s="8">
        <v>0</v>
      </c>
      <c r="H77" s="8">
        <v>74428.7</v>
      </c>
      <c r="I77" s="8">
        <v>179645.76</v>
      </c>
      <c r="J77" s="8">
        <f>91307.3+10483.94</f>
        <v>101791.24</v>
      </c>
      <c r="K77" s="8">
        <v>0</v>
      </c>
      <c r="L77" s="8">
        <v>0</v>
      </c>
      <c r="M77" s="8">
        <f>247350.83+91665.8</f>
        <v>339016.63</v>
      </c>
      <c r="N77" s="8"/>
      <c r="O77" s="8"/>
      <c r="P77" s="8"/>
      <c r="Q77" s="8"/>
      <c r="R77" s="8"/>
      <c r="S77" s="8"/>
      <c r="T77" s="8"/>
      <c r="U77" s="8"/>
      <c r="V77" s="8">
        <v>2624123.71</v>
      </c>
      <c r="W77" s="8"/>
    </row>
    <row r="78" spans="1:23" ht="17" customHeight="1">
      <c r="A78" s="13" t="s">
        <v>94</v>
      </c>
      <c r="B78" s="8"/>
      <c r="C78" s="8">
        <v>0</v>
      </c>
      <c r="D78" s="8">
        <v>0</v>
      </c>
      <c r="E78" s="8">
        <v>12869.09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/>
      <c r="O78" s="8"/>
      <c r="P78" s="8">
        <v>756737.59</v>
      </c>
      <c r="Q78" s="8"/>
      <c r="R78" s="8"/>
      <c r="S78" s="8"/>
      <c r="T78" s="8"/>
      <c r="U78" s="8"/>
      <c r="V78" s="8"/>
      <c r="W78" s="8"/>
    </row>
    <row r="79" spans="1:23" ht="17" customHeight="1">
      <c r="A79" s="13" t="s">
        <v>95</v>
      </c>
      <c r="B79" s="8"/>
      <c r="C79" s="8">
        <v>0</v>
      </c>
      <c r="D79" s="8">
        <v>0</v>
      </c>
      <c r="E79" s="8">
        <v>20041.68</v>
      </c>
      <c r="F79" s="8">
        <v>0</v>
      </c>
      <c r="G79" s="8">
        <v>0</v>
      </c>
      <c r="H79" s="8">
        <v>464955.08</v>
      </c>
      <c r="I79" s="8">
        <v>125685</v>
      </c>
      <c r="J79" s="8">
        <v>41416.239999999998</v>
      </c>
      <c r="K79" s="8">
        <v>0</v>
      </c>
      <c r="L79" s="8">
        <v>0</v>
      </c>
      <c r="M79" s="8">
        <v>0</v>
      </c>
      <c r="N79" s="8">
        <v>77812.27</v>
      </c>
      <c r="O79" s="8"/>
      <c r="P79" s="8">
        <v>16518.75</v>
      </c>
      <c r="Q79" s="8"/>
      <c r="R79" s="8"/>
      <c r="S79" s="8"/>
      <c r="T79" s="8"/>
      <c r="U79" s="8"/>
      <c r="V79" s="8"/>
      <c r="W79" s="8">
        <v>1838940.69</v>
      </c>
    </row>
    <row r="80" spans="1:23" ht="17" customHeight="1">
      <c r="A80" s="13" t="s">
        <v>96</v>
      </c>
      <c r="B80" s="8"/>
      <c r="C80" s="8">
        <v>0</v>
      </c>
      <c r="D80" s="8">
        <v>0</v>
      </c>
      <c r="E80" s="8">
        <v>7390</v>
      </c>
      <c r="F80" s="8">
        <v>0</v>
      </c>
      <c r="G80" s="8">
        <v>0</v>
      </c>
      <c r="H80" s="8">
        <v>10632</v>
      </c>
      <c r="I80" s="8">
        <v>0</v>
      </c>
      <c r="J80" s="8">
        <v>30129</v>
      </c>
      <c r="K80" s="8">
        <v>23976</v>
      </c>
      <c r="L80" s="8">
        <v>45968</v>
      </c>
      <c r="M80" s="8">
        <v>68640</v>
      </c>
      <c r="N80" s="8"/>
      <c r="O80" s="8">
        <v>86260</v>
      </c>
      <c r="P80" s="8"/>
      <c r="Q80" s="8"/>
      <c r="R80" s="8">
        <v>89100</v>
      </c>
      <c r="S80" s="8"/>
      <c r="T80" s="8"/>
      <c r="U80" s="8"/>
      <c r="V80" s="8"/>
      <c r="W80" s="8"/>
    </row>
    <row r="81" spans="1:23" ht="17" customHeight="1">
      <c r="A81" s="13" t="s">
        <v>97</v>
      </c>
      <c r="B81" s="8"/>
      <c r="C81" s="8">
        <v>5519.35</v>
      </c>
      <c r="D81" s="8">
        <v>0</v>
      </c>
      <c r="E81" s="8">
        <v>0</v>
      </c>
      <c r="F81" s="8">
        <v>0</v>
      </c>
      <c r="G81" s="8">
        <v>102484.41</v>
      </c>
      <c r="H81" s="8">
        <v>1339632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/>
      <c r="O81" s="14"/>
      <c r="P81" s="14"/>
      <c r="Q81" s="14"/>
      <c r="R81" s="14"/>
      <c r="S81" s="14"/>
      <c r="T81" s="14"/>
      <c r="U81" s="14"/>
      <c r="V81" s="14"/>
      <c r="W81" s="14"/>
    </row>
    <row r="82" spans="1:23" ht="17" customHeight="1">
      <c r="A82" s="13" t="s">
        <v>98</v>
      </c>
      <c r="B82" s="8"/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14">
        <v>0</v>
      </c>
      <c r="J82" s="8">
        <v>303170.19</v>
      </c>
      <c r="K82" s="8">
        <v>215080.7</v>
      </c>
      <c r="L82" s="8">
        <v>107055.94</v>
      </c>
      <c r="M82" s="14">
        <v>0</v>
      </c>
      <c r="N82" s="14">
        <v>107540.352</v>
      </c>
      <c r="O82" s="14">
        <v>114104.33</v>
      </c>
      <c r="P82" s="14"/>
      <c r="Q82" s="14">
        <v>342906.77</v>
      </c>
      <c r="R82" s="14"/>
      <c r="S82" s="14">
        <v>576234.14</v>
      </c>
      <c r="T82" s="14"/>
      <c r="U82" s="14"/>
      <c r="V82" s="14"/>
      <c r="W82" s="14"/>
    </row>
    <row r="83" spans="1:23" ht="17" customHeight="1">
      <c r="A83" s="13" t="s">
        <v>99</v>
      </c>
      <c r="B83" s="8"/>
      <c r="C83" s="8">
        <v>0</v>
      </c>
      <c r="D83" s="8">
        <v>0</v>
      </c>
      <c r="E83" s="8">
        <v>0</v>
      </c>
      <c r="F83" s="8">
        <v>0</v>
      </c>
      <c r="G83" s="14">
        <v>0</v>
      </c>
      <c r="H83" s="8">
        <v>18969.259999999998</v>
      </c>
      <c r="I83" s="8">
        <v>18492.64</v>
      </c>
      <c r="J83" s="8">
        <v>17316.599999999999</v>
      </c>
      <c r="K83" s="8">
        <v>223955.02</v>
      </c>
      <c r="L83" s="8">
        <v>218231.71</v>
      </c>
      <c r="M83" s="8">
        <v>69029.36</v>
      </c>
      <c r="N83" s="8"/>
      <c r="O83" s="8">
        <v>36320</v>
      </c>
      <c r="P83" s="8"/>
      <c r="Q83" s="8"/>
      <c r="R83" s="8"/>
      <c r="S83" s="8">
        <v>171039.45</v>
      </c>
      <c r="T83" s="8">
        <v>264091.43</v>
      </c>
      <c r="U83" s="8"/>
      <c r="V83" s="8"/>
      <c r="W83" s="8"/>
    </row>
    <row r="84" spans="1:23" ht="17" customHeight="1">
      <c r="A84" s="13" t="s">
        <v>100</v>
      </c>
      <c r="B84" s="8"/>
      <c r="C84" s="8">
        <v>32620.35</v>
      </c>
      <c r="D84" s="8">
        <v>76114.149999999994</v>
      </c>
      <c r="E84" s="8">
        <v>15888.5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369512</v>
      </c>
      <c r="M84" s="8">
        <v>0</v>
      </c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 ht="17" customHeight="1">
      <c r="A85" s="13" t="s">
        <v>101</v>
      </c>
      <c r="B85" s="8"/>
      <c r="C85" s="8">
        <v>1546.74</v>
      </c>
      <c r="D85" s="8">
        <v>2247.4</v>
      </c>
      <c r="E85" s="8">
        <v>0</v>
      </c>
      <c r="F85" s="8">
        <v>4238.1000000000004</v>
      </c>
      <c r="G85" s="8">
        <v>0</v>
      </c>
      <c r="H85" s="8">
        <v>6056.7</v>
      </c>
      <c r="I85" s="8">
        <v>5492.9</v>
      </c>
      <c r="J85" s="8">
        <v>71461.61</v>
      </c>
      <c r="K85" s="8">
        <v>0</v>
      </c>
      <c r="L85" s="8">
        <v>35625.199999999997</v>
      </c>
      <c r="M85" s="8">
        <v>0</v>
      </c>
      <c r="N85" s="8"/>
      <c r="O85" s="8">
        <v>26483.34</v>
      </c>
      <c r="P85" s="8"/>
      <c r="Q85" s="8"/>
      <c r="R85" s="8"/>
      <c r="S85" s="8">
        <v>68080</v>
      </c>
      <c r="T85" s="8"/>
      <c r="U85" s="8"/>
      <c r="V85" s="8"/>
      <c r="W85" s="8"/>
    </row>
    <row r="86" spans="1:23" ht="17" customHeight="1">
      <c r="A86" s="13" t="s">
        <v>102</v>
      </c>
      <c r="B86" s="8"/>
      <c r="C86" s="8">
        <v>0</v>
      </c>
      <c r="D86" s="8">
        <v>0</v>
      </c>
      <c r="E86" s="8">
        <v>29.56</v>
      </c>
      <c r="F86" s="8">
        <v>0</v>
      </c>
      <c r="G86" s="8">
        <v>0</v>
      </c>
      <c r="H86" s="8">
        <v>14459.52</v>
      </c>
      <c r="I86" s="8">
        <v>0</v>
      </c>
      <c r="J86" s="8">
        <v>0</v>
      </c>
      <c r="K86" s="8">
        <v>0</v>
      </c>
      <c r="L86" s="8">
        <v>0</v>
      </c>
      <c r="M86" s="8">
        <v>144144</v>
      </c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 ht="17" customHeight="1">
      <c r="A87" s="13" t="s">
        <v>103</v>
      </c>
      <c r="B87" s="8"/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46550</v>
      </c>
      <c r="J87" s="8">
        <v>0</v>
      </c>
      <c r="K87" s="8">
        <v>44400</v>
      </c>
      <c r="L87" s="8">
        <v>0</v>
      </c>
      <c r="M87" s="8">
        <v>0</v>
      </c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 ht="17" customHeight="1">
      <c r="A88" s="13" t="s">
        <v>104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>
        <v>1495957.32</v>
      </c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 ht="17" customHeight="1">
      <c r="A89" s="13" t="s">
        <v>105</v>
      </c>
      <c r="B89" s="8"/>
      <c r="C89" s="8"/>
      <c r="D89" s="8"/>
      <c r="E89" s="8"/>
      <c r="F89" s="8"/>
      <c r="G89" s="8">
        <v>10123287.67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/>
      <c r="O89" s="8"/>
      <c r="P89" s="8"/>
      <c r="Q89" s="8"/>
      <c r="R89" s="8"/>
      <c r="S89" s="8"/>
      <c r="T89" s="8"/>
      <c r="U89" s="8">
        <v>401100</v>
      </c>
      <c r="V89" s="8"/>
      <c r="W89" s="8"/>
    </row>
    <row r="90" spans="1:23" ht="17" customHeight="1">
      <c r="A90" s="13" t="s">
        <v>106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>
        <v>56719.040000000001</v>
      </c>
      <c r="Q90" s="8">
        <f>37429.81+194040+600600</f>
        <v>832069.81</v>
      </c>
      <c r="R90" s="8">
        <f>86271.28+9355.5</f>
        <v>95626.78</v>
      </c>
      <c r="S90" s="8">
        <v>1647800.56</v>
      </c>
      <c r="T90" s="8">
        <v>1084141.58</v>
      </c>
      <c r="U90" s="8">
        <v>726202.22</v>
      </c>
      <c r="V90" s="8">
        <v>1211409.82</v>
      </c>
      <c r="W90" s="8">
        <v>282371.32</v>
      </c>
    </row>
    <row r="91" spans="1:23" ht="17" customHeight="1">
      <c r="A91" s="13" t="s">
        <v>112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>
        <v>1739425.67</v>
      </c>
      <c r="V91" s="8"/>
      <c r="W91" s="8"/>
    </row>
    <row r="92" spans="1:23" ht="17" customHeight="1">
      <c r="A92" s="13" t="s">
        <v>109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>
        <v>2446037</v>
      </c>
      <c r="T92" s="8"/>
      <c r="U92" s="8">
        <v>1175605</v>
      </c>
      <c r="V92" s="8"/>
      <c r="W92" s="8"/>
    </row>
    <row r="93" spans="1:23" ht="17" customHeight="1">
      <c r="A93" s="13" t="s">
        <v>107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>
        <v>2442427.34</v>
      </c>
      <c r="N93" s="8"/>
      <c r="O93" s="8"/>
      <c r="P93" s="8"/>
      <c r="Q93" s="8"/>
      <c r="R93" s="8">
        <v>6131512.4000000004</v>
      </c>
      <c r="S93" s="8"/>
      <c r="T93" s="8"/>
      <c r="U93" s="8">
        <f>-5182518.53+981196.36</f>
        <v>-4201322.17</v>
      </c>
      <c r="V93" s="8">
        <v>2326527.63</v>
      </c>
      <c r="W93" s="8"/>
    </row>
    <row r="94" spans="1:23" ht="17" customHeight="1">
      <c r="A94" s="23" t="s">
        <v>113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>
        <v>480262.66</v>
      </c>
      <c r="V94" s="8"/>
      <c r="W94" s="8"/>
    </row>
    <row r="95" spans="1:23" ht="17" customHeight="1">
      <c r="A95" s="13" t="s">
        <v>108</v>
      </c>
      <c r="B95" s="8"/>
      <c r="C95" s="8">
        <v>0</v>
      </c>
      <c r="D95" s="8">
        <v>0</v>
      </c>
      <c r="E95" s="8">
        <v>369.5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4290</v>
      </c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 ht="16">
      <c r="A96" s="16"/>
    </row>
    <row r="97" spans="4:4">
      <c r="D97" s="17"/>
    </row>
  </sheetData>
  <autoFilter ref="A1:N9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Microsoft Office User</cp:lastModifiedBy>
  <dcterms:created xsi:type="dcterms:W3CDTF">2025-03-20T11:38:00Z</dcterms:created>
  <dcterms:modified xsi:type="dcterms:W3CDTF">2026-08-24T10:46:46Z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7D2688852147C60494FA4C6A7FF7E461_43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