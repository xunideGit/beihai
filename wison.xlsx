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20" windowHeight="17260" activeTab="2"/>
  </bookViews>
  <sheets>
    <sheet name="合同数据" sheetId="1" r:id="rId1"/>
    <sheet name="兑换记录" sheetId="8" r:id="rId2"/>
    <sheet name="开票情况" sheetId="3" r:id="rId3"/>
    <sheet name="2024Q4进项" sheetId="4" r:id="rId4"/>
    <sheet name="2025Q1进项" sheetId="5" r:id="rId5"/>
    <sheet name="短期存款利息(RUB)" sheetId="6" r:id="rId6"/>
    <sheet name="短期存款利息(RMB)" sheetId="7" r:id="rId7"/>
  </sheets>
  <definedNames>
    <definedName name="_xlnm.Print_Area" localSheetId="0">合同数据!$A$1:$R$23</definedName>
    <definedName name="_xlnm.Print_Area" localSheetId="1">兑换记录!$A$1:$D$43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<sst xmlns="http://schemas.openxmlformats.org/spreadsheetml/2006/main" count="1839" uniqueCount="1169">
  <si>
    <t>合同内容</t>
  </si>
  <si>
    <t>合同编号</t>
  </si>
  <si>
    <r>
      <rPr>
        <b/>
        <sz val="14"/>
        <color theme="1"/>
        <rFont val="微软雅黑"/>
        <charset val="134"/>
      </rPr>
      <t>不含税金额</t>
    </r>
    <r>
      <rPr>
        <b/>
        <sz val="14"/>
        <color theme="1"/>
        <rFont val="Times New Roman"/>
        <charset val="134"/>
      </rPr>
      <t xml:space="preserve">
RMB</t>
    </r>
  </si>
  <si>
    <r>
      <rPr>
        <b/>
        <sz val="14"/>
        <color theme="1"/>
        <rFont val="微软雅黑"/>
        <charset val="134"/>
      </rPr>
      <t>税率</t>
    </r>
  </si>
  <si>
    <r>
      <rPr>
        <b/>
        <sz val="14"/>
        <color theme="1"/>
        <rFont val="微软雅黑"/>
        <charset val="134"/>
      </rPr>
      <t>税金</t>
    </r>
    <r>
      <rPr>
        <b/>
        <sz val="14"/>
        <color theme="1"/>
        <rFont val="Times New Roman"/>
        <charset val="134"/>
      </rPr>
      <t xml:space="preserve">
RMB</t>
    </r>
  </si>
  <si>
    <r>
      <rPr>
        <b/>
        <sz val="14"/>
        <color theme="1"/>
        <rFont val="微软雅黑"/>
        <charset val="134"/>
      </rPr>
      <t>合同金额</t>
    </r>
    <r>
      <rPr>
        <b/>
        <sz val="14"/>
        <color theme="1"/>
        <rFont val="Times New Roman"/>
        <charset val="134"/>
      </rPr>
      <t xml:space="preserve">
RMB</t>
    </r>
  </si>
  <si>
    <t>占比</t>
  </si>
  <si>
    <r>
      <rPr>
        <b/>
        <sz val="14"/>
        <color theme="1"/>
        <rFont val="微软雅黑"/>
        <charset val="134"/>
      </rPr>
      <t>预付款</t>
    </r>
    <r>
      <rPr>
        <b/>
        <sz val="14"/>
        <color theme="1"/>
        <rFont val="Times New Roman"/>
        <charset val="134"/>
      </rPr>
      <t xml:space="preserve">
</t>
    </r>
    <r>
      <rPr>
        <b/>
        <sz val="14"/>
        <color theme="1"/>
        <rFont val="微软雅黑"/>
        <charset val="134"/>
      </rPr>
      <t>比例</t>
    </r>
  </si>
  <si>
    <r>
      <rPr>
        <b/>
        <sz val="14"/>
        <color theme="1"/>
        <rFont val="微软雅黑"/>
        <charset val="134"/>
      </rPr>
      <t>合同约定预付款</t>
    </r>
    <r>
      <rPr>
        <b/>
        <sz val="14"/>
        <color theme="1"/>
        <rFont val="Times New Roman"/>
        <charset val="134"/>
      </rPr>
      <t xml:space="preserve">
RMB</t>
    </r>
  </si>
  <si>
    <r>
      <rPr>
        <b/>
        <sz val="14"/>
        <color theme="1"/>
        <rFont val="微软雅黑"/>
        <charset val="134"/>
      </rPr>
      <t>按合同已回款</t>
    </r>
    <r>
      <rPr>
        <b/>
        <sz val="14"/>
        <color theme="1"/>
        <rFont val="Times New Roman"/>
        <charset val="134"/>
      </rPr>
      <t xml:space="preserve">
RMB</t>
    </r>
  </si>
  <si>
    <r>
      <rPr>
        <b/>
        <sz val="14"/>
        <rFont val="微软雅黑"/>
        <charset val="134"/>
      </rPr>
      <t>其中已回款</t>
    </r>
    <r>
      <rPr>
        <b/>
        <sz val="14"/>
        <rFont val="Times New Roman"/>
        <charset val="134"/>
      </rPr>
      <t xml:space="preserve">
RMB</t>
    </r>
  </si>
  <si>
    <t>收款日期</t>
  </si>
  <si>
    <t>折算汇率</t>
  </si>
  <si>
    <r>
      <rPr>
        <b/>
        <sz val="14"/>
        <rFont val="微软雅黑"/>
        <charset val="134"/>
      </rPr>
      <t>其中第一笔</t>
    </r>
    <r>
      <rPr>
        <b/>
        <sz val="14"/>
        <rFont val="Times New Roman"/>
        <charset val="134"/>
      </rPr>
      <t xml:space="preserve">
RUB</t>
    </r>
  </si>
  <si>
    <r>
      <rPr>
        <b/>
        <sz val="14"/>
        <rFont val="微软雅黑"/>
        <charset val="134"/>
      </rPr>
      <t>其中第二笔</t>
    </r>
    <r>
      <rPr>
        <b/>
        <sz val="14"/>
        <rFont val="Times New Roman"/>
        <charset val="134"/>
      </rPr>
      <t xml:space="preserve">
RUB</t>
    </r>
  </si>
  <si>
    <r>
      <rPr>
        <b/>
        <sz val="14"/>
        <rFont val="微软雅黑"/>
        <charset val="134"/>
      </rPr>
      <t>其中第三笔</t>
    </r>
    <r>
      <rPr>
        <b/>
        <sz val="14"/>
        <rFont val="Times New Roman"/>
        <charset val="134"/>
      </rPr>
      <t xml:space="preserve">
RUB</t>
    </r>
  </si>
  <si>
    <r>
      <rPr>
        <sz val="14"/>
        <color theme="1"/>
        <rFont val="宋体-简"/>
        <charset val="134"/>
      </rPr>
      <t>桩基合同</t>
    </r>
    <r>
      <rPr>
        <sz val="14"/>
        <color theme="1"/>
        <rFont val="Times New Roman"/>
        <charset val="134"/>
      </rPr>
      <t>1</t>
    </r>
  </si>
  <si>
    <t>23087DC240011PD</t>
  </si>
  <si>
    <t>———</t>
  </si>
  <si>
    <r>
      <rPr>
        <b/>
        <sz val="14"/>
        <color rgb="FFFF0000"/>
        <rFont val="宋体-简"/>
        <charset val="134"/>
      </rPr>
      <t>小</t>
    </r>
    <r>
      <rPr>
        <sz val="14"/>
        <color theme="1"/>
        <rFont val="Times New Roman"/>
        <charset val="134"/>
      </rPr>
      <t xml:space="preserve">                   </t>
    </r>
    <r>
      <rPr>
        <sz val="14"/>
        <color theme="1"/>
        <rFont val="宋体-简"/>
        <charset val="134"/>
      </rPr>
      <t>计</t>
    </r>
  </si>
  <si>
    <r>
      <rPr>
        <sz val="14"/>
        <color theme="1"/>
        <rFont val="宋体-简"/>
        <charset val="134"/>
      </rPr>
      <t>桩基合同</t>
    </r>
    <r>
      <rPr>
        <sz val="14"/>
        <color theme="1"/>
        <rFont val="Times New Roman"/>
        <charset val="134"/>
      </rPr>
      <t>2</t>
    </r>
  </si>
  <si>
    <t>23087DC240021PD</t>
  </si>
  <si>
    <r>
      <rPr>
        <sz val="14"/>
        <color theme="1"/>
        <rFont val="宋体-简"/>
        <charset val="134"/>
      </rPr>
      <t>桩基合同</t>
    </r>
    <r>
      <rPr>
        <sz val="14"/>
        <color theme="1"/>
        <rFont val="Times New Roman"/>
        <charset val="134"/>
      </rPr>
      <t>3</t>
    </r>
  </si>
  <si>
    <t>23087DC240111PD</t>
  </si>
  <si>
    <r>
      <rPr>
        <b/>
        <sz val="14"/>
        <color rgb="FFFF0000"/>
        <rFont val="宋体-简"/>
        <charset val="134"/>
      </rPr>
      <t>小</t>
    </r>
    <r>
      <rPr>
        <b/>
        <sz val="14"/>
        <color rgb="FFFF0000"/>
        <rFont val="Times New Roman"/>
        <charset val="134"/>
      </rPr>
      <t xml:space="preserve">                   </t>
    </r>
    <r>
      <rPr>
        <b/>
        <sz val="14"/>
        <color rgb="FFFF0000"/>
        <rFont val="宋体-简"/>
        <charset val="134"/>
      </rPr>
      <t>计</t>
    </r>
  </si>
  <si>
    <t>借款</t>
  </si>
  <si>
    <t>代付货款</t>
  </si>
  <si>
    <t>国内管道预制合同</t>
  </si>
  <si>
    <t>土建部分</t>
  </si>
  <si>
    <t>23087DC240041PD</t>
  </si>
  <si>
    <t>安装部分</t>
  </si>
  <si>
    <t>23087DC240151PD</t>
  </si>
  <si>
    <r>
      <rPr>
        <b/>
        <sz val="16"/>
        <color theme="1"/>
        <rFont val="宋体"/>
        <charset val="134"/>
      </rPr>
      <t>合</t>
    </r>
    <r>
      <rPr>
        <b/>
        <sz val="16"/>
        <color theme="1"/>
        <rFont val="Times New Roman"/>
        <charset val="134"/>
      </rPr>
      <t xml:space="preserve">    </t>
    </r>
    <r>
      <rPr>
        <b/>
        <sz val="16"/>
        <color theme="1"/>
        <rFont val="宋体"/>
        <charset val="134"/>
      </rPr>
      <t>计</t>
    </r>
  </si>
  <si>
    <t>卢布合计</t>
  </si>
  <si>
    <r>
      <rPr>
        <sz val="11"/>
        <color theme="1"/>
        <rFont val="宋体"/>
        <charset val="134"/>
      </rPr>
      <t>关于总包与业主的合同信息：</t>
    </r>
  </si>
  <si>
    <t>——————</t>
  </si>
  <si>
    <t>———————————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</si>
  <si>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项目名称：</t>
    </r>
    <r>
      <rPr>
        <sz val="11"/>
        <color theme="1"/>
        <rFont val="Times New Roman"/>
        <charset val="134"/>
      </rPr>
      <t>FLUID CATALYTIC CRACKING COMPLEX PROJECT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</si>
  <si>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业主名称：</t>
    </r>
    <r>
      <rPr>
        <sz val="11"/>
        <color theme="1"/>
        <rFont val="Times New Roman"/>
        <charset val="134"/>
      </rPr>
      <t>Limited liability company "LUKOIL-Permnefteorgsintez"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</si>
  <si>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总包信息：见附件</t>
    </r>
    <r>
      <rPr>
        <sz val="11"/>
        <color theme="1"/>
        <rFont val="Times New Roman"/>
        <charset val="134"/>
      </rPr>
      <t>Company Card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</si>
  <si>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业主合同号：</t>
    </r>
    <r>
      <rPr>
        <sz val="11"/>
        <color theme="1"/>
        <rFont val="Times New Roman"/>
        <charset val="134"/>
      </rPr>
      <t>2024027401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</si>
  <si>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总包合同号：</t>
    </r>
    <r>
      <rPr>
        <sz val="11"/>
        <color theme="1"/>
        <rFont val="Times New Roman"/>
        <charset val="134"/>
      </rPr>
      <t>23087CE240031CO</t>
    </r>
  </si>
  <si>
    <r>
      <rPr>
        <sz val="11"/>
        <color theme="1"/>
        <rFont val="宋体"/>
        <charset val="134"/>
      </rPr>
      <t>总包信息</t>
    </r>
  </si>
  <si>
    <t>BASIC INFORMATION AND BANK DETAILS  / КАРТОЧКА КОМПАНИИ
Branch of Wison Engineering Limited (China) / ФИЛИАЛ ООО «ВИСОН ИНЖИНИРИНГ» (Китай)</t>
  </si>
  <si>
    <r>
      <rPr>
        <sz val="11"/>
        <color theme="1"/>
        <rFont val="宋体"/>
        <charset val="134"/>
      </rPr>
      <t>俄语</t>
    </r>
  </si>
  <si>
    <r>
      <rPr>
        <sz val="11"/>
        <color theme="1"/>
        <rFont val="宋体"/>
        <charset val="134"/>
      </rPr>
      <t>英语</t>
    </r>
  </si>
  <si>
    <r>
      <rPr>
        <sz val="11"/>
        <color theme="1"/>
        <rFont val="宋体"/>
        <charset val="134"/>
      </rPr>
      <t>中文</t>
    </r>
  </si>
  <si>
    <r>
      <rPr>
        <sz val="11"/>
        <color theme="1"/>
        <rFont val="宋体"/>
        <charset val="134"/>
      </rPr>
      <t>完整公司名称（分公司）</t>
    </r>
  </si>
  <si>
    <t>Full company name (branch) )/Полное наименование</t>
  </si>
  <si>
    <t>Филиал Общества с Ограниченной Ответственностью «Висон Инжиниринг» (Китай)</t>
  </si>
  <si>
    <t>Branch of Wison Engineering Limited (China)</t>
  </si>
  <si>
    <r>
      <rPr>
        <sz val="10"/>
        <color theme="1"/>
        <rFont val="宋体"/>
        <charset val="134"/>
      </rPr>
      <t>惠生工程（中国）有限公司分公司</t>
    </r>
  </si>
  <si>
    <r>
      <rPr>
        <sz val="11"/>
        <color theme="1"/>
        <rFont val="宋体-简"/>
        <charset val="134"/>
      </rPr>
      <t>在俄罗斯的法定注册地址</t>
    </r>
  </si>
  <si>
    <t>Legal registered address in Russia / Адрес место-нахождения в РФ</t>
  </si>
  <si>
    <t>РФ, 123610, г. Москва, Краснопресненская набережная, дом 12, подъезд 6, этаж 4, помещение 421В, комната 1</t>
  </si>
  <si>
    <t>123610, Russia, Moscow, Krasnopresnenskaya nab. 12, entr. 6, floor 4, prem. 421B, room 1</t>
  </si>
  <si>
    <r>
      <rPr>
        <sz val="11"/>
        <color theme="1"/>
        <rFont val="宋体"/>
        <charset val="134"/>
      </rPr>
      <t>实际邮寄地址</t>
    </r>
  </si>
  <si>
    <t>Actual postage address/Почтовый адрес</t>
  </si>
  <si>
    <r>
      <rPr>
        <sz val="12"/>
        <color theme="1"/>
        <rFont val="宋体"/>
        <charset val="134"/>
      </rPr>
      <t>电话</t>
    </r>
  </si>
  <si>
    <t>Telephone</t>
  </si>
  <si>
    <t>+7 495 258 2125</t>
  </si>
  <si>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纳税人识别号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或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税号</t>
    </r>
    <r>
      <rPr>
        <sz val="11"/>
        <color theme="1"/>
        <rFont val="Times New Roman"/>
        <charset val="134"/>
      </rPr>
      <t xml:space="preserve">”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ИНН</t>
    </r>
    <r>
      <rPr>
        <sz val="11"/>
        <color theme="1"/>
        <rFont val="宋体"/>
        <charset val="134"/>
      </rPr>
      <t>是俄罗斯的税号，相当于中国的纳税人识别号）。</t>
    </r>
  </si>
  <si>
    <t>TAXpayer No. / ИНН</t>
  </si>
  <si>
    <r>
      <rPr>
        <sz val="12"/>
        <color theme="1"/>
        <rFont val="宋体"/>
        <charset val="134"/>
      </rPr>
      <t>认证记录编号</t>
    </r>
  </si>
  <si>
    <t>Accreditation record No. (НЗА)</t>
  </si>
  <si>
    <r>
      <rPr>
        <sz val="12"/>
        <color theme="1"/>
        <rFont val="宋体"/>
        <charset val="134"/>
      </rPr>
      <t>全俄企业组织分类代码</t>
    </r>
  </si>
  <si>
    <t>OKPO ОКПО</t>
  </si>
  <si>
    <r>
      <rPr>
        <sz val="12"/>
        <color theme="1"/>
        <rFont val="宋体"/>
        <charset val="134"/>
      </rPr>
      <t>税务登记标识符代码</t>
    </r>
  </si>
  <si>
    <t>Tax registration reason code (KPP) КПП</t>
  </si>
  <si>
    <r>
      <rPr>
        <b/>
        <sz val="14"/>
        <color theme="1"/>
        <rFont val="微软雅黑"/>
        <charset val="134"/>
      </rPr>
      <t>日期</t>
    </r>
    <r>
      <rPr>
        <b/>
        <sz val="14"/>
        <color theme="1"/>
        <rFont val="Times New Roman"/>
        <charset val="134"/>
      </rPr>
      <t>/</t>
    </r>
    <r>
      <rPr>
        <b/>
        <sz val="14"/>
        <color theme="1"/>
        <rFont val="微软雅黑"/>
        <charset val="134"/>
      </rPr>
      <t>说明</t>
    </r>
  </si>
  <si>
    <r>
      <rPr>
        <b/>
        <sz val="14"/>
        <color theme="1"/>
        <rFont val="Times New Roman"/>
        <charset val="134"/>
      </rPr>
      <t>RMB</t>
    </r>
    <r>
      <rPr>
        <b/>
        <sz val="14"/>
        <color theme="1"/>
        <rFont val="微软雅黑"/>
        <charset val="134"/>
      </rPr>
      <t>部分</t>
    </r>
  </si>
  <si>
    <r>
      <rPr>
        <b/>
        <sz val="14"/>
        <color theme="1"/>
        <rFont val="微软雅黑"/>
        <charset val="134"/>
      </rPr>
      <t>兑换汇率</t>
    </r>
  </si>
  <si>
    <r>
      <rPr>
        <b/>
        <sz val="14"/>
        <color theme="1"/>
        <rFont val="Times New Roman"/>
        <charset val="134"/>
      </rPr>
      <t>RUB</t>
    </r>
    <r>
      <rPr>
        <b/>
        <sz val="14"/>
        <color theme="1"/>
        <rFont val="微软雅黑"/>
        <charset val="134"/>
      </rPr>
      <t>部分</t>
    </r>
  </si>
  <si>
    <r>
      <rPr>
        <sz val="11"/>
        <color theme="1"/>
        <rFont val="Times New Roman"/>
        <charset val="134"/>
      </rPr>
      <t>11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-简"/>
        <charset val="134"/>
      </rPr>
      <t>日收到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</si>
  <si>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12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-简"/>
        <charset val="134"/>
      </rPr>
      <t>日收到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</si>
  <si>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02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14</t>
    </r>
    <r>
      <rPr>
        <sz val="11"/>
        <color theme="1"/>
        <rFont val="宋体-简"/>
        <charset val="134"/>
      </rPr>
      <t>日收到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</si>
  <si>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借款</t>
    </r>
    <r>
      <rPr>
        <sz val="11"/>
        <color theme="1"/>
        <rFont val="Times New Roman"/>
        <charset val="134"/>
      </rPr>
      <t>1000</t>
    </r>
    <r>
      <rPr>
        <sz val="11"/>
        <color theme="1"/>
        <rFont val="宋体-简"/>
        <charset val="134"/>
      </rPr>
      <t>万人民币</t>
    </r>
  </si>
  <si>
    <r>
      <rPr>
        <sz val="11"/>
        <color theme="1"/>
        <rFont val="Times New Roman"/>
        <charset val="134"/>
      </rPr>
      <t>03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07</t>
    </r>
    <r>
      <rPr>
        <sz val="11"/>
        <color theme="1"/>
        <rFont val="宋体-简"/>
        <charset val="134"/>
      </rPr>
      <t>日收到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</si>
  <si>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04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22</t>
    </r>
    <r>
      <rPr>
        <sz val="11"/>
        <color theme="1"/>
        <rFont val="宋体-简"/>
        <charset val="134"/>
      </rPr>
      <t>日收到</t>
    </r>
    <r>
      <rPr>
        <sz val="11"/>
        <color theme="1"/>
        <rFont val="Times New Roman"/>
        <charset val="134"/>
      </rPr>
      <t>RMB</t>
    </r>
  </si>
  <si>
    <r>
      <rPr>
        <sz val="11"/>
        <color theme="1"/>
        <rFont val="Times New Roman"/>
        <charset val="134"/>
      </rPr>
      <t>04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22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</si>
  <si>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04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23</t>
    </r>
    <r>
      <rPr>
        <sz val="11"/>
        <color theme="1"/>
        <rFont val="宋体-简"/>
        <charset val="134"/>
      </rPr>
      <t>日归还</t>
    </r>
    <r>
      <rPr>
        <sz val="11"/>
        <color theme="1"/>
        <rFont val="Times New Roman"/>
        <charset val="134"/>
      </rPr>
      <t>wison</t>
    </r>
    <r>
      <rPr>
        <sz val="11"/>
        <color theme="1"/>
        <rFont val="宋体-简"/>
        <charset val="134"/>
      </rPr>
      <t>借款</t>
    </r>
  </si>
  <si>
    <r>
      <rPr>
        <sz val="11"/>
        <color theme="1"/>
        <rFont val="Times New Roman"/>
        <charset val="134"/>
      </rPr>
      <t>04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28</t>
    </r>
    <r>
      <rPr>
        <sz val="11"/>
        <color theme="1"/>
        <rFont val="宋体-简"/>
        <charset val="134"/>
      </rPr>
      <t>日支付</t>
    </r>
    <r>
      <rPr>
        <sz val="11"/>
        <color theme="1"/>
        <rFont val="Times New Roman"/>
        <charset val="134"/>
      </rPr>
      <t>wison</t>
    </r>
    <r>
      <rPr>
        <sz val="11"/>
        <color theme="1"/>
        <rFont val="宋体-简"/>
        <charset val="134"/>
      </rPr>
      <t>借款利息</t>
    </r>
  </si>
  <si>
    <r>
      <rPr>
        <sz val="11"/>
        <color theme="1"/>
        <rFont val="Times New Roman"/>
        <charset val="134"/>
      </rPr>
      <t>05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15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</si>
  <si>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05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29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</si>
  <si>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06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10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</si>
  <si>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06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19</t>
    </r>
    <r>
      <rPr>
        <sz val="11"/>
        <color theme="1"/>
        <rFont val="宋体-简"/>
        <charset val="134"/>
      </rPr>
      <t>日收到</t>
    </r>
    <r>
      <rPr>
        <sz val="11"/>
        <color theme="1"/>
        <rFont val="Times New Roman"/>
        <charset val="134"/>
      </rPr>
      <t>RMB</t>
    </r>
  </si>
  <si>
    <r>
      <rPr>
        <sz val="11"/>
        <color theme="1"/>
        <rFont val="Times New Roman"/>
        <charset val="134"/>
      </rPr>
      <t>06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</si>
  <si>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rgb="FFFF0000"/>
        <rFont val="Times New Roman"/>
        <charset val="134"/>
      </rPr>
      <t>07</t>
    </r>
    <r>
      <rPr>
        <sz val="11"/>
        <color rgb="FFFF0000"/>
        <rFont val="宋体-简"/>
        <charset val="134"/>
      </rPr>
      <t>月</t>
    </r>
    <r>
      <rPr>
        <sz val="11"/>
        <color rgb="FFFF0000"/>
        <rFont val="Times New Roman"/>
        <charset val="134"/>
      </rPr>
      <t>10</t>
    </r>
    <r>
      <rPr>
        <sz val="11"/>
        <color rgb="FFFF0000"/>
        <rFont val="宋体-简"/>
        <charset val="134"/>
      </rPr>
      <t>日</t>
    </r>
    <r>
      <rPr>
        <sz val="11"/>
        <color rgb="FFFF0000"/>
        <rFont val="Times New Roman"/>
        <charset val="134"/>
      </rPr>
      <t>RMB</t>
    </r>
    <r>
      <rPr>
        <sz val="11"/>
        <color rgb="FFFF0000"/>
        <rFont val="宋体-简"/>
        <charset val="134"/>
      </rPr>
      <t>兑换</t>
    </r>
    <r>
      <rPr>
        <sz val="11"/>
        <color rgb="FFFF0000"/>
        <rFont val="Times New Roman"/>
        <charset val="134"/>
      </rPr>
      <t>RUB</t>
    </r>
  </si>
  <si>
    <r>
      <rPr>
        <sz val="11"/>
        <color rgb="FFFF0000"/>
        <rFont val="Times New Roman"/>
        <charset val="134"/>
      </rPr>
      <t>07</t>
    </r>
    <r>
      <rPr>
        <sz val="11"/>
        <color rgb="FFFF0000"/>
        <rFont val="宋体-简"/>
        <charset val="134"/>
      </rPr>
      <t>月</t>
    </r>
    <r>
      <rPr>
        <sz val="11"/>
        <color rgb="FFFF0000"/>
        <rFont val="Times New Roman"/>
        <charset val="134"/>
      </rPr>
      <t>28</t>
    </r>
    <r>
      <rPr>
        <sz val="11"/>
        <color rgb="FFFF0000"/>
        <rFont val="宋体-简"/>
        <charset val="134"/>
      </rPr>
      <t>日</t>
    </r>
    <r>
      <rPr>
        <sz val="11"/>
        <color rgb="FFFF0000"/>
        <rFont val="Times New Roman"/>
        <charset val="134"/>
      </rPr>
      <t>RMB</t>
    </r>
    <r>
      <rPr>
        <sz val="11"/>
        <color rgb="FFFF0000"/>
        <rFont val="宋体-简"/>
        <charset val="134"/>
      </rPr>
      <t>兑换</t>
    </r>
    <r>
      <rPr>
        <sz val="11"/>
        <color rgb="FFFF0000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</si>
  <si>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</si>
  <si>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</si>
  <si>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14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</si>
  <si>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18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</si>
  <si>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19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</si>
  <si>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25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</si>
  <si>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28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</si>
  <si>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29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</si>
  <si>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09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08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</si>
  <si>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桩基进度款</t>
    </r>
    <r>
      <rPr>
        <sz val="11"/>
        <color theme="1"/>
        <rFont val="Times New Roman"/>
        <charset val="134"/>
      </rPr>
      <t>0912</t>
    </r>
  </si>
  <si>
    <r>
      <rPr>
        <sz val="11"/>
        <color theme="1"/>
        <rFont val="Times New Roman"/>
        <charset val="134"/>
      </rPr>
      <t>09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</si>
  <si>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Times New Roman"/>
        <charset val="134"/>
      </rPr>
      <t>09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25</t>
    </r>
    <r>
      <rPr>
        <sz val="11"/>
        <color theme="1"/>
        <rFont val="宋体-简"/>
        <charset val="134"/>
      </rPr>
      <t>日借款</t>
    </r>
    <r>
      <rPr>
        <sz val="11"/>
        <color theme="1"/>
        <rFont val="Times New Roman"/>
        <charset val="134"/>
      </rPr>
      <t>RMB</t>
    </r>
  </si>
  <si>
    <r>
      <rPr>
        <sz val="11"/>
        <color theme="1"/>
        <rFont val="Times New Roman"/>
        <charset val="134"/>
      </rPr>
      <t>09</t>
    </r>
    <r>
      <rPr>
        <sz val="11"/>
        <color theme="1"/>
        <rFont val="宋体-简"/>
        <charset val="134"/>
      </rPr>
      <t>月</t>
    </r>
    <r>
      <rPr>
        <sz val="11"/>
        <color theme="1"/>
        <rFont val="Times New Roman"/>
        <charset val="134"/>
      </rPr>
      <t>26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</si>
  <si>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10月</t>
    </r>
    <r>
      <rPr>
        <sz val="11"/>
        <color theme="1"/>
        <rFont val="Times New Roman"/>
        <charset val="134"/>
      </rPr>
      <t>01</t>
    </r>
    <r>
      <rPr>
        <sz val="11"/>
        <color theme="1"/>
        <rFont val="宋体-简"/>
        <charset val="134"/>
      </rPr>
      <t>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</si>
  <si>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10月16日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</si>
  <si>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桩基进度款</t>
    </r>
    <r>
      <rPr>
        <sz val="11"/>
        <color theme="1"/>
        <rFont val="Times New Roman"/>
        <charset val="134"/>
      </rPr>
      <t>1101</t>
    </r>
  </si>
  <si>
    <r>
      <rPr>
        <sz val="11"/>
        <color theme="1"/>
        <rFont val="宋体-简"/>
        <charset val="134"/>
      </rPr>
      <t>桩基进度款</t>
    </r>
    <r>
      <rPr>
        <sz val="11"/>
        <color theme="1"/>
        <rFont val="Times New Roman"/>
        <charset val="134"/>
      </rPr>
      <t>1105</t>
    </r>
  </si>
  <si>
    <r>
      <rPr>
        <sz val="11"/>
        <color theme="1"/>
        <rFont val="宋体-简"/>
        <charset val="134"/>
      </rPr>
      <t>11月05日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</si>
  <si>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11月24日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</si>
  <si>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桩基进度款</t>
    </r>
    <r>
      <rPr>
        <sz val="11"/>
        <color theme="1"/>
        <rFont val="Times New Roman"/>
        <charset val="134"/>
      </rPr>
      <t>1126</t>
    </r>
  </si>
  <si>
    <r>
      <rPr>
        <sz val="11"/>
        <color theme="1"/>
        <rFont val="宋体-简"/>
        <charset val="134"/>
      </rPr>
      <t>11月26日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</si>
  <si>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t>桩基进度款1212</t>
  </si>
  <si>
    <r>
      <rPr>
        <sz val="11"/>
        <color theme="1"/>
        <rFont val="宋体-简"/>
        <charset val="134"/>
      </rPr>
      <t>桩基进度款</t>
    </r>
    <r>
      <rPr>
        <sz val="11"/>
        <color theme="1"/>
        <rFont val="Times New Roman"/>
        <charset val="134"/>
      </rPr>
      <t>1212</t>
    </r>
  </si>
  <si>
    <r>
      <rPr>
        <sz val="11"/>
        <color theme="1"/>
        <rFont val="宋体-简"/>
        <charset val="134"/>
      </rPr>
      <t>12月12日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</si>
  <si>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12月16日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</si>
  <si>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桩基进度款</t>
    </r>
    <r>
      <rPr>
        <sz val="11"/>
        <color theme="1"/>
        <rFont val="Times New Roman"/>
        <charset val="134"/>
      </rPr>
      <t>1219</t>
    </r>
  </si>
  <si>
    <r>
      <rPr>
        <sz val="11"/>
        <color theme="1"/>
        <rFont val="宋体-简"/>
        <charset val="134"/>
      </rPr>
      <t>12月25日</t>
    </r>
    <r>
      <rPr>
        <sz val="11"/>
        <color theme="1"/>
        <rFont val="Times New Roman"/>
        <charset val="134"/>
      </rPr>
      <t>RMB</t>
    </r>
    <r>
      <rPr>
        <sz val="11"/>
        <color theme="1"/>
        <rFont val="宋体-简"/>
        <charset val="134"/>
      </rPr>
      <t>兑换</t>
    </r>
    <r>
      <rPr>
        <sz val="11"/>
        <color theme="1"/>
        <rFont val="Times New Roman"/>
        <charset val="134"/>
      </rPr>
      <t>RUB</t>
    </r>
  </si>
  <si>
    <r>
      <rPr>
        <sz val="11"/>
        <color theme="1"/>
        <rFont val="宋体-简"/>
        <charset val="134"/>
      </rPr>
      <t>TPSC进度款</t>
    </r>
    <r>
      <rPr>
        <sz val="11"/>
        <color theme="1"/>
        <rFont val="Times New Roman"/>
        <charset val="134"/>
      </rPr>
      <t>1229</t>
    </r>
  </si>
  <si>
    <t>合同内容
（单位：元）</t>
  </si>
  <si>
    <t>累计回款
RMB部分</t>
  </si>
  <si>
    <t>综合
汇率</t>
  </si>
  <si>
    <t>累计回款
RUB部分</t>
  </si>
  <si>
    <t>###</t>
  </si>
  <si>
    <t>开票金额（卢布）</t>
  </si>
  <si>
    <t>开票日期</t>
  </si>
  <si>
    <t>金额
（卢布）</t>
  </si>
  <si>
    <t>税率</t>
  </si>
  <si>
    <t>税额
（卢布）</t>
  </si>
  <si>
    <t>开票金额（人民币）</t>
  </si>
  <si>
    <t>金额
（人民币）</t>
  </si>
  <si>
    <t>税额
（人民币）</t>
  </si>
  <si>
    <t>***</t>
  </si>
  <si>
    <t>进项税额
（卢布）</t>
  </si>
  <si>
    <t>计算方式</t>
  </si>
  <si>
    <t>应缴税额
（卢布）</t>
  </si>
  <si>
    <t>期间</t>
  </si>
  <si>
    <t>月份</t>
  </si>
  <si>
    <t>缴税金额
（卢布）</t>
  </si>
  <si>
    <t>桩基合同1</t>
  </si>
  <si>
    <t>13 Ноябрь 2024</t>
  </si>
  <si>
    <r>
      <rPr>
        <sz val="11"/>
        <color theme="1"/>
        <rFont val="Times New Roman Regular"/>
        <charset val="134"/>
      </rPr>
      <t xml:space="preserve">  15,201,480.71(Q4</t>
    </r>
    <r>
      <rPr>
        <sz val="11"/>
        <color theme="1"/>
        <rFont val="宋体-简"/>
        <charset val="134"/>
      </rPr>
      <t>开票税金</t>
    </r>
    <r>
      <rPr>
        <sz val="11"/>
        <color theme="1"/>
        <rFont val="Times New Roman Regular"/>
        <charset val="134"/>
      </rPr>
      <t>)
-  7,368,263.71(Q4</t>
    </r>
    <r>
      <rPr>
        <sz val="11"/>
        <color theme="1"/>
        <rFont val="宋体-简"/>
        <charset val="134"/>
      </rPr>
      <t>进项税额</t>
    </r>
    <r>
      <rPr>
        <sz val="11"/>
        <color theme="1"/>
        <rFont val="Times New Roman Regular"/>
        <charset val="134"/>
      </rPr>
      <t>)
=7,833,217.00</t>
    </r>
  </si>
  <si>
    <t>2024/Q4</t>
  </si>
  <si>
    <t>Jan</t>
  </si>
  <si>
    <t>26 Декабрь 2024</t>
  </si>
  <si>
    <t>Feb</t>
  </si>
  <si>
    <t>桩基合同2</t>
  </si>
  <si>
    <t>Mar</t>
  </si>
  <si>
    <t>桩基合同3</t>
  </si>
  <si>
    <t>07 Марта 2025</t>
  </si>
  <si>
    <t>桩基进度款</t>
  </si>
  <si>
    <t>03 Июля 2025</t>
  </si>
  <si>
    <t>18 Апреля 2025</t>
  </si>
  <si>
    <r>
      <rPr>
        <sz val="11"/>
        <color theme="1"/>
        <rFont val="Times New Roman Regular"/>
        <charset val="134"/>
      </rPr>
      <t xml:space="preserve">  19,519,765.66(Q1</t>
    </r>
    <r>
      <rPr>
        <sz val="11"/>
        <color theme="1"/>
        <rFont val="宋体-简"/>
        <charset val="134"/>
      </rPr>
      <t>开票税金</t>
    </r>
    <r>
      <rPr>
        <sz val="11"/>
        <color theme="1"/>
        <rFont val="Times New Roman Regular"/>
        <charset val="134"/>
      </rPr>
      <t>)
+  2,851,348.33(</t>
    </r>
    <r>
      <rPr>
        <sz val="11"/>
        <color theme="1"/>
        <rFont val="宋体-简"/>
        <charset val="134"/>
      </rPr>
      <t>桩基预付款发票税金</t>
    </r>
    <r>
      <rPr>
        <sz val="11"/>
        <color theme="1"/>
        <rFont val="Times New Roman Regular"/>
        <charset val="134"/>
      </rPr>
      <t>)
=22,371,114.00
-20,561,546.00(Q1</t>
    </r>
    <r>
      <rPr>
        <sz val="11"/>
        <color theme="1"/>
        <rFont val="宋体-简"/>
        <charset val="134"/>
      </rPr>
      <t>进项税额</t>
    </r>
    <r>
      <rPr>
        <sz val="11"/>
        <color theme="1"/>
        <rFont val="Times New Roman Regular"/>
        <charset val="134"/>
      </rPr>
      <t>)
=1,809,568.00</t>
    </r>
  </si>
  <si>
    <t>2025/Q1</t>
  </si>
  <si>
    <t>Apr</t>
  </si>
  <si>
    <t>21 Апреля 2025</t>
  </si>
  <si>
    <t>May</t>
  </si>
  <si>
    <t>19 Июня 2025</t>
  </si>
  <si>
    <t>Jun</t>
  </si>
  <si>
    <r>
      <rPr>
        <sz val="11"/>
        <color theme="1"/>
        <rFont val="Times New Roman Regular"/>
        <charset val="134"/>
      </rPr>
      <t>161,222,762.41</t>
    </r>
    <r>
      <rPr>
        <sz val="11"/>
        <color theme="1"/>
        <rFont val="宋体-简"/>
        <charset val="134"/>
      </rPr>
      <t>（</t>
    </r>
    <r>
      <rPr>
        <sz val="11"/>
        <color theme="1"/>
        <rFont val="Times New Roman Regular"/>
        <charset val="134"/>
      </rPr>
      <t>Q2</t>
    </r>
    <r>
      <rPr>
        <sz val="11"/>
        <color theme="1"/>
        <rFont val="宋体-简"/>
        <charset val="134"/>
      </rPr>
      <t>开票税金）</t>
    </r>
    <r>
      <rPr>
        <sz val="11"/>
        <color theme="1"/>
        <rFont val="Times New Roman Regular"/>
        <charset val="134"/>
      </rPr>
      <t xml:space="preserve">
-  51,477,701.31</t>
    </r>
    <r>
      <rPr>
        <sz val="11"/>
        <color theme="1"/>
        <rFont val="宋体-简"/>
        <charset val="134"/>
      </rPr>
      <t>（</t>
    </r>
    <r>
      <rPr>
        <sz val="11"/>
        <color theme="1"/>
        <rFont val="Times New Roman Regular"/>
        <charset val="134"/>
      </rPr>
      <t>Q2</t>
    </r>
    <r>
      <rPr>
        <sz val="11"/>
        <color theme="1"/>
        <rFont val="宋体-简"/>
        <charset val="134"/>
      </rPr>
      <t>进项税额）</t>
    </r>
    <r>
      <rPr>
        <sz val="11"/>
        <color theme="1"/>
        <rFont val="Times New Roman Regular"/>
        <charset val="134"/>
      </rPr>
      <t xml:space="preserve">
=109,745,061.10</t>
    </r>
  </si>
  <si>
    <t>2025/Q2</t>
  </si>
  <si>
    <t>Jul</t>
  </si>
  <si>
    <t>Aug</t>
  </si>
  <si>
    <t>Sep</t>
  </si>
  <si>
    <t>合    计</t>
  </si>
  <si>
    <r>
      <rPr>
        <b/>
        <sz val="9"/>
        <rFont val="Arial"/>
        <charset val="0"/>
      </rPr>
      <t xml:space="preserve"> ФИЛИАЛ ООО "ШЕСТАЯ КИТАЙСКАЯ ХИМИКО-ТЕХНОЛОГИЧЕСКАЯ СТРОИТЕЛЬНАЯ КОМПАНИЯ"
</t>
    </r>
    <r>
      <rPr>
        <b/>
        <sz val="9"/>
        <rFont val="宋体-简"/>
        <charset val="0"/>
      </rPr>
      <t>中化六建</t>
    </r>
  </si>
  <si>
    <r>
      <rPr>
        <b/>
        <sz val="12"/>
        <rFont val="Arial"/>
        <charset val="0"/>
      </rPr>
      <t>Оборотно-сальдовая ведомость по счету 19 за 2024 г. 
2024</t>
    </r>
    <r>
      <rPr>
        <b/>
        <sz val="12"/>
        <rFont val="宋体-简"/>
        <charset val="0"/>
      </rPr>
      <t>年度</t>
    </r>
    <r>
      <rPr>
        <b/>
        <sz val="12"/>
        <rFont val="Arial"/>
        <charset val="0"/>
      </rPr>
      <t>19</t>
    </r>
    <r>
      <rPr>
        <b/>
        <sz val="12"/>
        <rFont val="宋体-简"/>
        <charset val="0"/>
      </rPr>
      <t>号科目往来余额表</t>
    </r>
  </si>
  <si>
    <r>
      <rPr>
        <sz val="8"/>
        <rFont val="Arial"/>
        <charset val="0"/>
      </rPr>
      <t>Выводимые данные: БУ (данные бухгалтерского учета)</t>
    </r>
    <r>
      <rPr>
        <sz val="8"/>
        <rFont val="宋体-简"/>
        <charset val="0"/>
      </rPr>
      <t>输出数据：</t>
    </r>
    <r>
      <rPr>
        <sz val="8"/>
        <rFont val="Arial"/>
        <charset val="0"/>
      </rPr>
      <t>БУ</t>
    </r>
    <r>
      <rPr>
        <sz val="8"/>
        <rFont val="宋体-简"/>
        <charset val="0"/>
      </rPr>
      <t>（财务会计数据）</t>
    </r>
  </si>
  <si>
    <r>
      <rPr>
        <sz val="10"/>
        <color rgb="FF003F2F"/>
        <rFont val="Arial"/>
        <charset val="0"/>
      </rPr>
      <t>Счет</t>
    </r>
    <r>
      <rPr>
        <sz val="10"/>
        <color rgb="FF003F2F"/>
        <rFont val="宋体-简"/>
        <charset val="0"/>
      </rPr>
      <t>科目</t>
    </r>
  </si>
  <si>
    <r>
      <rPr>
        <sz val="9"/>
        <color rgb="FF003F2F"/>
        <rFont val="Arial"/>
        <charset val="0"/>
      </rPr>
      <t>Сальдо на начало периода</t>
    </r>
    <r>
      <rPr>
        <sz val="9"/>
        <color rgb="FF003F2F"/>
        <rFont val="宋体-简"/>
        <charset val="0"/>
      </rPr>
      <t>期初余额</t>
    </r>
  </si>
  <si>
    <r>
      <rPr>
        <sz val="9"/>
        <color rgb="FF003F2F"/>
        <rFont val="Arial"/>
        <charset val="0"/>
      </rPr>
      <t>Обороты за период</t>
    </r>
    <r>
      <rPr>
        <sz val="9"/>
        <color rgb="FF003F2F"/>
        <rFont val="宋体-简"/>
        <charset val="0"/>
      </rPr>
      <t>本期发生额</t>
    </r>
  </si>
  <si>
    <r>
      <rPr>
        <sz val="9"/>
        <color rgb="FF003F2F"/>
        <rFont val="Arial"/>
        <charset val="0"/>
      </rPr>
      <t>Сальдо на конец периода</t>
    </r>
    <r>
      <rPr>
        <sz val="9"/>
        <color rgb="FF003F2F"/>
        <rFont val="宋体-简"/>
        <charset val="0"/>
      </rPr>
      <t>期末余额</t>
    </r>
  </si>
  <si>
    <r>
      <rPr>
        <sz val="10"/>
        <color rgb="FF003F2F"/>
        <rFont val="Arial"/>
        <charset val="0"/>
      </rPr>
      <t>Контрагенты</t>
    </r>
    <r>
      <rPr>
        <sz val="10"/>
        <color rgb="FF003F2F"/>
        <rFont val="宋体-简"/>
        <charset val="0"/>
      </rPr>
      <t>客户</t>
    </r>
  </si>
  <si>
    <r>
      <rPr>
        <sz val="9"/>
        <color rgb="FF003F2F"/>
        <rFont val="Arial"/>
        <charset val="0"/>
      </rPr>
      <t>Дебет</t>
    </r>
    <r>
      <rPr>
        <sz val="9"/>
        <color rgb="FF003F2F"/>
        <rFont val="宋体-简"/>
        <charset val="0"/>
      </rPr>
      <t>借方</t>
    </r>
  </si>
  <si>
    <r>
      <rPr>
        <sz val="9"/>
        <color rgb="FF003F2F"/>
        <rFont val="Arial"/>
        <charset val="0"/>
      </rPr>
      <t>Кредит</t>
    </r>
    <r>
      <rPr>
        <sz val="9"/>
        <color rgb="FF003F2F"/>
        <rFont val="宋体-简"/>
        <charset val="0"/>
      </rPr>
      <t>贷方</t>
    </r>
  </si>
  <si>
    <r>
      <rPr>
        <sz val="10"/>
        <color rgb="FF003F2F"/>
        <rFont val="Arial"/>
        <charset val="0"/>
      </rPr>
      <t>Счета-фактуры полученные</t>
    </r>
    <r>
      <rPr>
        <sz val="10"/>
        <color rgb="FF003F2F"/>
        <rFont val="宋体-简"/>
        <charset val="0"/>
      </rPr>
      <t>收到的发票</t>
    </r>
  </si>
  <si>
    <t>19</t>
  </si>
  <si>
    <t>19.01</t>
  </si>
  <si>
    <t>ТЕРРА АВТО ООО</t>
  </si>
  <si>
    <t>Поступление (акт, накладная, УПД) ДФБП-000116 от 10.12.2024 0:00:00</t>
  </si>
  <si>
    <t>ЭНЕРГОКОНТИНЕНТ ООО</t>
  </si>
  <si>
    <t>Поступление (акт, накладная, УПД) ДФБП-000104 от 13.12.2024 12:15:24</t>
  </si>
  <si>
    <t>19.03</t>
  </si>
  <si>
    <t>ВЕКТОР ООО</t>
  </si>
  <si>
    <t>Поступление (акт, накладная, УПД) ДФБП-000111 от 27.11.2024 0:00:00</t>
  </si>
  <si>
    <t>ЖЕЛЕЗОБЕТОН ООО</t>
  </si>
  <si>
    <t>Поступление (акт, накладная, УПД) ДФБП-000043 от 20.11.2024 12:00:00</t>
  </si>
  <si>
    <t>Поступление (акт, накладная, УПД) ДФБП-000044 от 20.11.2024 12:00:01</t>
  </si>
  <si>
    <t>Поступление (акт, накладная, УПД) ДФБП-000045 от 22.11.2024 12:00:00</t>
  </si>
  <si>
    <t>Поступление (акт, накладная, УПД) ДФБП-000046 от 22.11.2024 12:00:01</t>
  </si>
  <si>
    <t>Поступление (акт, накладная, УПД) ДФБП-000047 от 25.11.2024 12:00:15</t>
  </si>
  <si>
    <t>Поступление (акт, накладная, УПД) ДФБП-000048 от 25.11.2024 12:00:16</t>
  </si>
  <si>
    <t>Поступление (акт, накладная, УПД) ДФБП-000049 от 25.11.2024 12:00:17</t>
  </si>
  <si>
    <t>Поступление (акт, накладная, УПД) ДФБП-000050 от 25.11.2024 12:00:18</t>
  </si>
  <si>
    <t>Поступление (акт, накладная, УПД) ДФБП-000051 от 26.11.2024 12:00:00</t>
  </si>
  <si>
    <t>Поступление (акт, накладная, УПД) ДФБП-000096 от 26.11.2024 12:00:01</t>
  </si>
  <si>
    <t>Поступление (акт, накладная, УПД) ДФБП-000097 от 26.11.2024 12:00:02</t>
  </si>
  <si>
    <t>Поступление (акт, накладная, УПД) ДФБП-000052 от 27.11.2024 12:00:00</t>
  </si>
  <si>
    <t>Поступление (акт, накладная, УПД) ДФБП-000053 от 27.11.2024 12:00:01</t>
  </si>
  <si>
    <t>Поступление (акт, накладная, УПД) ДФБП-000100 от 27.11.2024 12:00:02</t>
  </si>
  <si>
    <t>Поступление (акт, накладная, УПД) ДФБП-000101 от 27.11.2024 12:00:03</t>
  </si>
  <si>
    <t>Поступление (акт, накладная, УПД) ДФБП-000102 от 28.11.2024 12:00:01</t>
  </si>
  <si>
    <t>Поступление (акт, накладная, УПД) ДФБП-000054 от 29.11.2024 12:00:02</t>
  </si>
  <si>
    <t>Поступление (акт, накладная, УПД) ДФБП-000055 от 02.12.2024 12:00:00</t>
  </si>
  <si>
    <t>Поступление (акт, накладная, УПД) ДФБП-000056 от 02.12.2024 12:00:01</t>
  </si>
  <si>
    <t>Поступление (акт, накладная, УПД) ДФБП-000057 от 02.12.2024 12:00:02</t>
  </si>
  <si>
    <t>Поступление (акт, накладная, УПД) ДФБП-000058 от 03.12.2024 12:13:44</t>
  </si>
  <si>
    <t>Поступление (акт, накладная, УПД) ДФБП-000059 от 04.12.2024 12:00:02</t>
  </si>
  <si>
    <t>Поступление (акт, накладная, УПД) ДФБП-000060 от 04.12.2024 12:00:03</t>
  </si>
  <si>
    <t>Поступление (акт, накладная, УПД) ДФБП-000064 от 04.12.2024 12:00:04</t>
  </si>
  <si>
    <t>Поступление (акт, накладная, УПД) ДФБП-000065 от 04.12.2024 12:00:05</t>
  </si>
  <si>
    <t>Поступление (акт, накладная, УПД) ДФБП-000066 от 04.12.2024 12:00:06</t>
  </si>
  <si>
    <t>Поступление (акт, накладная, УПД) ДФБП-000067 от 04.12.2024 12:00:07</t>
  </si>
  <si>
    <t>Поступление (акт, накладная, УПД) ДФБП-000068 от 04.12.2024 12:00:08</t>
  </si>
  <si>
    <t>Поступление (акт, накладная, УПД) ДФБП-000061 от 06.12.2024 12:00:00</t>
  </si>
  <si>
    <t>Поступление (акт, накладная, УПД) ДФБП-000062 от 06.12.2024 12:00:01</t>
  </si>
  <si>
    <t>Поступление (акт, накладная, УПД) ДФБП-000069 от 06.12.2024 12:00:02</t>
  </si>
  <si>
    <t>Поступление (акт, накладная, УПД) ДФБП-000070 от 06.12.2024 12:00:03</t>
  </si>
  <si>
    <t>Поступление (акт, накладная, УПД) ДФБП-000063 от 07.12.2024 12:00:00</t>
  </si>
  <si>
    <t>Поступление (акт, накладная, УПД) ДФБП-000071 от 07.12.2024 12:00:01</t>
  </si>
  <si>
    <t>Поступление (акт, накладная, УПД) ДФБП-000072 от 07.12.2024 12:00:02</t>
  </si>
  <si>
    <t>Поступление (акт, накладная, УПД) ДФБП-000073 от 08.12.2024 12:00:00</t>
  </si>
  <si>
    <t>Поступление (акт, накладная, УПД) ДФБП-000074 от 08.12.2024 12:00:01</t>
  </si>
  <si>
    <t>Поступление (акт, накладная, УПД) ДФБП-000075 от 09.12.2024 12:00:00</t>
  </si>
  <si>
    <t>Поступление (акт, накладная, УПД) ДФБП-000076 от 09.12.2024 12:00:01</t>
  </si>
  <si>
    <t>Поступление (акт, накладная, УПД) ДФБП-000077 от 11.12.2024 12:00:04</t>
  </si>
  <si>
    <t>Поступление (акт, накладная, УПД) ДФБП-000078 от 11.12.2024 12:00:05</t>
  </si>
  <si>
    <t>Поступление (акт, накладная, УПД) ДФБП-000084 от 11.12.2024 12:00:06</t>
  </si>
  <si>
    <t>Поступление (акт, накладная, УПД) ДФБП-000085 от 11.12.2024 12:00:07</t>
  </si>
  <si>
    <t>Поступление (акт, накладная, УПД) ДФБП-000079 от 12.12.2024 12:00:00</t>
  </si>
  <si>
    <t>Поступление (акт, накладная, УПД) ДФБП-000080 от 12.12.2024 12:00:01</t>
  </si>
  <si>
    <t>Поступление (акт, накладная, УПД) ДФБП-000081 от 12.12.2024 12:00:02</t>
  </si>
  <si>
    <t>Поступление (акт, накладная, УПД) ДФБП-000082 от 12.12.2024 12:00:03</t>
  </si>
  <si>
    <t>Поступление (акт, накладная, УПД) ДФБП-000083 от 12.12.2024 12:00:04</t>
  </si>
  <si>
    <t>Поступление (акт, накладная, УПД) ДФБП-000086 от 13.12.2024 12:15:21</t>
  </si>
  <si>
    <t>Поступление (акт, накладная, УПД) ДФБП-000087 от 13.12.2024 12:15:22</t>
  </si>
  <si>
    <t>Поступление (акт, накладная, УПД) ДФБП-000088 от 14.12.2024 12:00:00</t>
  </si>
  <si>
    <t>Поступление (акт, накладная, УПД) ДФБП-000089 от 15.12.2024 12:00:00</t>
  </si>
  <si>
    <t>Поступление (акт, накладная, УПД) ДФБП-000090 от 15.12.2024 12:00:01</t>
  </si>
  <si>
    <t>Поступление (акт, накладная, УПД) ДФБП-000091 от 16.12.2024 12:00:01</t>
  </si>
  <si>
    <t>Поступление (акт, накладная, УПД) ДФБП-000092 от 16.12.2024 12:00:02</t>
  </si>
  <si>
    <t>Поступление (акт, накладная, УПД) ДФБП-000093 от 16.12.2024 12:00:03</t>
  </si>
  <si>
    <t>Поступление (акт, накладная, УПД) ДФБП-000098 от 16.12.2024 12:00:04</t>
  </si>
  <si>
    <t>Поступление (акт, накладная, УПД) ДФБП-000094 от 17.12.2024 12:00:03</t>
  </si>
  <si>
    <t>Поступление (акт, накладная, УПД) ДФБП-000099 от 17.12.2024 12:00:04</t>
  </si>
  <si>
    <t>МБМ-Сервис ООО</t>
  </si>
  <si>
    <t>Поступление (акт, накладная, УПД) ДФБП-000107 от 27.11.2024 12:00:04</t>
  </si>
  <si>
    <t>Поступление (акт, накладная, УПД) ДФБП-000108 от 27.11.2024 12:00:05</t>
  </si>
  <si>
    <t>Поступление (акт, накладная, УПД) ДФБП-000106 от 09.12.2024 12:00:02</t>
  </si>
  <si>
    <t>МЕТАЛЛОТОРГ АО</t>
  </si>
  <si>
    <t>Поступление (акт, накладная, УПД) ДФБП-000105 от 26.12.2024 12:00:04</t>
  </si>
  <si>
    <t>СИТИЛИНК ООО</t>
  </si>
  <si>
    <t>Поступление (акт, накладная, УПД) ДФБП-000095 от 20.12.2024 12:29:52</t>
  </si>
  <si>
    <t>ТЕХНОАВИА-ПЕРМЬ ООО</t>
  </si>
  <si>
    <t>Поступление (акт, накладная, УПД) ДФБП-000120 от 25.12.2024 0:00:00</t>
  </si>
  <si>
    <t>Поступление (акт, накладная, УПД) ДФБП-000121 от 25.12.2024 14:25:56</t>
  </si>
  <si>
    <t>19.04</t>
  </si>
  <si>
    <t>Поступление (акт, накладная, УПД) ДФБП-000110 от 26.12.2024 12:00:05</t>
  </si>
  <si>
    <t>Поступление (акт, накладная, УПД) ДФБП-000113 от 31.12.2024 0:00:00</t>
  </si>
  <si>
    <t>СПЕЦКОМПЛЕКТ ООО</t>
  </si>
  <si>
    <t>Поступление (акт, накладная, УПД) ДФБП-000123 от 29.11.2024 12:00:03</t>
  </si>
  <si>
    <t>Поступление (акт, накладная, УПД) ДФБП-000125 от 16.12.2024 12:00:05</t>
  </si>
  <si>
    <t>Поступление (акт, накладная, УПД) ДФБП-000124 от 25.12.2024 14:25:57</t>
  </si>
  <si>
    <t>ЭКОСЕРВИС ООО</t>
  </si>
  <si>
    <t>Поступление (акт, накладная, УПД) ДФ00-000009 от 31.08.2021 23:59:59</t>
  </si>
  <si>
    <t>Поступление (акт, накладная, УПД) ДФ00-000010 от 31.08.2021 23:59:59</t>
  </si>
  <si>
    <t>Поступление (акт, накладная, УПД) ДФ00-000016 от 30.09.2021 23:59:59</t>
  </si>
  <si>
    <t>Поступление (акт, накладная, УПД) ДФ00-000017 от 30.09.2021 23:59:59</t>
  </si>
  <si>
    <t>Поступление (акт, накладная, УПД) ДФ00-000018 от 31.10.2021 12:00:01</t>
  </si>
  <si>
    <t>Поступление (акт, накладная, УПД) ДФ00-000019 от 31.10.2021 12:00:02</t>
  </si>
  <si>
    <t>Поступление (акт, накладная, УПД) ДФ00-000012 от 30.11.2021 12:00:03</t>
  </si>
  <si>
    <t>Поступление (акт, накладная, УПД) ДФ00-000013 от 30.11.2021 12:00:04</t>
  </si>
  <si>
    <t>Поступление (акт, накладная, УПД) ДФ00-000014 от 31.12.2021 23:59:59</t>
  </si>
  <si>
    <t>Поступление (акт, накладная, УПД) ДФ00-000015 от 31.12.2021 23:59:59</t>
  </si>
  <si>
    <t>Поступление (акт, накладная, УПД) ДФ00-000001 от 31.01.2022 23:59:59</t>
  </si>
  <si>
    <t>Поступление (акт, накладная, УПД) ДФ00-000002 от 31.01.2022 23:59:59</t>
  </si>
  <si>
    <t>Поступление (акт, накладная, УПД) ДФ00-000003 от 28.02.2022 23:59:59</t>
  </si>
  <si>
    <t>Поступление (акт, накладная, УПД) ДФ00-000004 от 28.02.2022 23:59:59</t>
  </si>
  <si>
    <t>Поступление (акт, накладная, УПД) ДФ00-000005 от 31.03.2022 23:59:59</t>
  </si>
  <si>
    <t>Поступление (акт, накладная, УПД) ДФ00-000006 от 31.03.2022 23:59:59</t>
  </si>
  <si>
    <t>Поступление (акт, накладная, УПД) ДФ00-000007 от 30.04.2022 0:00:04</t>
  </si>
  <si>
    <t>Поступление (акт, накладная, УПД) ДФ00-000008 от 30.04.2022 0:00:05</t>
  </si>
  <si>
    <t>Поступление (акт, накладная, УПД) ДФ00-000009 от 31.05.2022 0:00:03</t>
  </si>
  <si>
    <t>Поступление (акт, накладная, УПД) ДФ00-000010 от 31.05.2022 0:00:05</t>
  </si>
  <si>
    <t>Поступление (акт, накладная, УПД) ДФ00-000011 от 30.06.2022 12:00:03</t>
  </si>
  <si>
    <t>Поступление (акт, накладная, УПД) ДФ00-000012 от 30.06.2022 12:00:04</t>
  </si>
  <si>
    <t>Поступление (акт, накладная, УПД) ДФ00-000013 от 31.07.2022 12:00:02</t>
  </si>
  <si>
    <t>Поступление (акт, накладная, УПД) ДФ00-000014 от 31.07.2022 12:00:03</t>
  </si>
  <si>
    <t>Поступление (акт, накладная, УПД) ДФ00-000015 от 31.08.2022 12:00:11</t>
  </si>
  <si>
    <t>Поступление (акт, накладная, УПД) ДФ00-000016 от 31.08.2022 12:00:12</t>
  </si>
  <si>
    <t>Поступление (акт, накладная, УПД) ДФ00-000017 от 30.09.2022 12:00:02</t>
  </si>
  <si>
    <t>Поступление (акт, накладная, УПД) ДФ00-000018 от 30.09.2022 12:00:03</t>
  </si>
  <si>
    <t>Поступление (акт, накладная, УПД) ДФ00-000021 от 31.10.2022 0:00:03</t>
  </si>
  <si>
    <t>Поступление (акт, накладная, УПД) ДФ00-000022 от 31.10.2022 0:00:04</t>
  </si>
  <si>
    <t>Поступление (акт, накладная, УПД) ДФ00-000023 от 30.11.2022 0:00:02</t>
  </si>
  <si>
    <t>Поступление (акт, накладная, УПД) ДФ00-000024 от 30.11.2022 0:00:03</t>
  </si>
  <si>
    <t>Поступление (акт, накладная, УПД) ДФ00-000025 от 31.12.2022 0:00:02</t>
  </si>
  <si>
    <t>Поступление (акт, накладная, УПД) ДФ00-000026 от 31.12.2022 0:00:03</t>
  </si>
  <si>
    <t>Поступление (акт, накладная, УПД) ДФ00-000001 от 31.01.2023 12:00:02</t>
  </si>
  <si>
    <t>Поступление (акт, накладная, УПД) ДФ00-000002 от 31.01.2023 12:00:03</t>
  </si>
  <si>
    <t>Поступление (акт, накладная, УПД) ДФ00-000003 от 28.02.2023 12:13:02</t>
  </si>
  <si>
    <t>Поступление (акт, накладная, УПД) ДФ00-000004 от 28.02.2023 12:13:03</t>
  </si>
  <si>
    <t>Поступление (акт, накладная, УПД) ДФ00-000005 от 31.03.2023 12:00:04</t>
  </si>
  <si>
    <t>Поступление (акт, накладная, УПД) ДФ00-000006 от 31.03.2023 12:00:05</t>
  </si>
  <si>
    <t>Поступление (акт, накладная, УПД) ДФ00-000007 от 30.04.2023 12:00:03</t>
  </si>
  <si>
    <t>Поступление (акт, накладная, УПД) ДФ00-000008 от 30.04.2023 12:00:04</t>
  </si>
  <si>
    <t>Поступление (акт, накладная, УПД) ДФ00-000009 от 31.05.2023 12:18:29</t>
  </si>
  <si>
    <t>Поступление (акт, накладная, УПД) ДФ00-000010 от 31.05.2023 12:18:30</t>
  </si>
  <si>
    <t>Поступление (акт, накладная, УПД) ДФ00-000011 от 30.06.2023 0:00:02</t>
  </si>
  <si>
    <t>Поступление (акт, накладная, УПД) ДФ00-000012 от 30.06.2023 0:00:03</t>
  </si>
  <si>
    <t>Поступление (акт, накладная, УПД) ДФ00-000013 от 31.07.2023 12:00:01</t>
  </si>
  <si>
    <t>Поступление (акт, накладная, УПД) ДФ00-000014 от 31.07.2023 12:00:02</t>
  </si>
  <si>
    <t>Поступление (акт, накладная, УПД) ДФ00-000015 от 31.08.2023 12:00:01</t>
  </si>
  <si>
    <t>Поступление (акт, накладная, УПД) ДФ00-000016 от 31.08.2023 12:00:02</t>
  </si>
  <si>
    <t>Поступление (акт, накладная, УПД) ДФ00-000017 от 30.09.2023 23:59:59</t>
  </si>
  <si>
    <t>Поступление (акт, накладная, УПД) ДФ00-000018 от 30.09.2023 23:59:59</t>
  </si>
  <si>
    <t>Поступление (акт, накладная, УПД) ДФ00-000019 от 31.10.2023 0:00:02</t>
  </si>
  <si>
    <t>Поступление (акт, накладная, УПД) ДФ00-000020 от 31.10.2023 0:00:03</t>
  </si>
  <si>
    <t>Поступление (акт, накладная, УПД) ДФ00-000021 от 30.11.2023 12:00:00</t>
  </si>
  <si>
    <t>Поступление (акт, накладная, УПД) ДФ00-000022 от 30.11.2023 12:00:01</t>
  </si>
  <si>
    <t>Поступление (акт, накладная, УПД) ДФ00-000023 от 31.12.2023 12:00:00</t>
  </si>
  <si>
    <t>Поступление (акт, накладная, УПД) ДФ00-000024 от 31.12.2023 12:00:01</t>
  </si>
  <si>
    <t>Поступление (акт, накладная, УПД) ДФ00-000001 от 31.01.2024 0:00:02</t>
  </si>
  <si>
    <t>Поступление (акт, накладная, УПД) ДФ00-000002 от 31.01.2024 0:00:03</t>
  </si>
  <si>
    <t>Поступление (акт, накладная, УПД) ДФ00-000003 от 29.02.2024 0:00:02</t>
  </si>
  <si>
    <t>Поступление (акт, накладная, УПД) ДФ00-000004 от 29.02.2024 0:00:03</t>
  </si>
  <si>
    <t>Поступление (акт, накладная, УПД) ДФ00-000005 от 31.03.2024 0:00:02</t>
  </si>
  <si>
    <t>Поступление (акт, накладная, УПД) ДФ00-000006 от 31.03.2024 0:00:03</t>
  </si>
  <si>
    <t>Поступление (акт, накладная, УПД) ДФ00-000007 от 30.04.2024 23:59:59</t>
  </si>
  <si>
    <t>Поступление (акт, накладная, УПД) ДФ00-000008 от 30.04.2024 23:59:59</t>
  </si>
  <si>
    <t>Поступление (акт, накладная, УПД) ДФ00-000009 от 31.05.2024 12:00:01</t>
  </si>
  <si>
    <t>Поступление (акт, накладная, УПД) ДФ00-000010 от 31.05.2024 12:00:02</t>
  </si>
  <si>
    <t>Поступление (акт, накладная, УПД) ДФ00-000011 от 30.06.2024 0:00:01</t>
  </si>
  <si>
    <t>Поступление (акт, накладная, УПД) ДФБП-000012 от 30.06.2024 0:00:02</t>
  </si>
  <si>
    <t>Поступление (акт, накладная, УПД) ДФБП-000013 от 31.07.2024 12:09:41</t>
  </si>
  <si>
    <t>Поступление (акт, накладная, УПД) ДФБП-000014 от 31.07.2024 12:09:42</t>
  </si>
  <si>
    <t>Поступление (акт, накладная, УПД) ДФБП-000023 от 31.08.2024 11:59:59</t>
  </si>
  <si>
    <t>Поступление (акт, накладная, УПД) ДФБП-000016 от 31.08.2024 12:00:01</t>
  </si>
  <si>
    <t>Поступление (акт, накладная, УПД) ДФБП-000015 от 30.09.2024 0:00:00</t>
  </si>
  <si>
    <t>Поступление (акт, накладная, УПД) ДФБП-000018 от 30.09.2024 12:00:01</t>
  </si>
  <si>
    <t>Поступление (акт, накладная, УПД) ДФБП-000017 от 31.10.2024 12:00:00</t>
  </si>
  <si>
    <t>Поступление (акт, накладная, УПД) ДФБП-000024 от 31.10.2024 23:59:59</t>
  </si>
  <si>
    <t>Поступление (акт, накладная, УПД) ДФБП-000025 от 30.11.2024 23:59:59</t>
  </si>
  <si>
    <t>Поступление (акт, накладная, УПД) ДФБП-000026 от 30.11.2024 23:59:59</t>
  </si>
  <si>
    <t>Поступление (акт, накладная, УПД) ДФБП-000027 от 31.12.2024 23:59:59</t>
  </si>
  <si>
    <t>Поступление (акт, накладная, УПД) ДФБП-000028 от 31.12.2024 23:59:59</t>
  </si>
  <si>
    <t>Итого</t>
  </si>
  <si>
    <t>ВСЕИНСТРУМЕНТЫ.РУ ООО</t>
  </si>
  <si>
    <t>Поступление (акт, накладная, УПД) ДФБП-000127 от 17.01.2025 11:01:27</t>
  </si>
  <si>
    <t>ЗАВОД СТРОЙДЕТАЛЬ ООО</t>
  </si>
  <si>
    <t>Поступление (акт, накладная, УПД) ДФБП-000117 от 15.01.2025 9:38:10</t>
  </si>
  <si>
    <t>Поступление (акт, накладная, УПД) ДФБП-000118 от 25.01.2025 12:00:03</t>
  </si>
  <si>
    <t>Поступление (акт, накладная, УПД) ДФДФ-000433 от 03.02.2025 23:59:59</t>
  </si>
  <si>
    <t>Поступление (акт, накладная, УПД) ДФБП-000150 от 28.02.2025 12:00:09</t>
  </si>
  <si>
    <t>САМСОН-ПЕРМЬ ООО</t>
  </si>
  <si>
    <t>Поступление (акт, накладная, УПД) ДФБП-000108 от 29.01.2025 15:34:52</t>
  </si>
  <si>
    <t>АВАНТАЖ  ООО ПКФ</t>
  </si>
  <si>
    <t>Поступление (акт, накладная, УПД) ДФБП-000135 от 20.02.2025 7:54:51</t>
  </si>
  <si>
    <t>ВЕРШИНА ООО</t>
  </si>
  <si>
    <t>Поступление (акт, накладная, УПД) ДФБП-000260 от 26.02.2025 23:59:59</t>
  </si>
  <si>
    <t>Поступление (акт, накладная, УПД) ДФБП-000125 от 17.01.2025 11:01:25</t>
  </si>
  <si>
    <t>Поступление (акт, накладная, УПД) ДФБП-000126 от 17.01.2025 11:01:26</t>
  </si>
  <si>
    <t>Поступление (акт, накладная, УПД) ДФБП-000124 от 27.01.2025 15:23:47</t>
  </si>
  <si>
    <t>Поступление (акт, накладная, УПД) ДФБП-000128 от 03.02.2025 11:31:35</t>
  </si>
  <si>
    <t>Поступление (акт, накладная, УПД) ДФБП-000129 от 03.02.2025 11:31:36</t>
  </si>
  <si>
    <t>Поступление (акт, накладная, УПД) ДФБП-000120 от 10.02.2025 12:00:31</t>
  </si>
  <si>
    <t>Поступление (акт, накладная, УПД) ДФБП-000121 от 10.02.2025 12:00:32</t>
  </si>
  <si>
    <t>Поступление (акт, накладная, УПД) ДФБП-000123 от 10.02.2025 12:00:33</t>
  </si>
  <si>
    <t>Поступление (акт, накладная, УПД) ДФБП-000122 от 14.02.2025 14:29:46</t>
  </si>
  <si>
    <t>Поступление (акт, накладная, УПД) ДФБП-000153 от 26.02.2025 12:00:10</t>
  </si>
  <si>
    <t>Поступление (акт, накладная, УПД) ДФБП-000151 от 26.02.2025 13:08:45</t>
  </si>
  <si>
    <t>Поступление (акт, накладная, УПД) ДФБП-000152 от 26.02.2025 13:34:37</t>
  </si>
  <si>
    <t>Поступление (акт, накладная, УПД) ДФБП-000154 от 26.02.2025 13:34:38</t>
  </si>
  <si>
    <t>Поступление (акт, накладная, УПД) ДФБП-000155 от 03.03.2025 13:28:24</t>
  </si>
  <si>
    <t>Поступление (акт, накладная, УПД) ДФБП-000257 от 18.03.2025 23:59:59</t>
  </si>
  <si>
    <t>Поступление (акт, накладная, УПД) ДФБП-000297 от 20.03.2025 23:59:59</t>
  </si>
  <si>
    <t>Поступление (акт, накладная, УПД) ДФБП-000298 от 20.03.2025 23:59:59</t>
  </si>
  <si>
    <t>Поступление (акт, накладная, УПД) ДФБП-000299 от 20.03.2025 23:59:59</t>
  </si>
  <si>
    <t>Поступление (акт, накладная, УПД) ДФБП-000013 от 17.01.2025 11:01:22</t>
  </si>
  <si>
    <t>Поступление (акт, накладная, УПД) ДФБП-000014 от 17.01.2025 11:01:23</t>
  </si>
  <si>
    <t>Поступление (акт, накладная, УПД) ДФБП-000015 от 17.01.2025 11:01:24</t>
  </si>
  <si>
    <t>Поступление (акт, накладная, УПД) ДФБП-000016 от 18.01.2025 12:00:00</t>
  </si>
  <si>
    <t>Поступление (акт, накладная, УПД) ДФБП-000017 от 18.01.2025 12:00:01</t>
  </si>
  <si>
    <t>Поступление (акт, накладная, УПД) ДФБП-000018 от 20.01.2025 15:46:10</t>
  </si>
  <si>
    <t>Поступление (акт, накладная, УПД) ДФБП-000019 от 20.01.2025 15:46:11</t>
  </si>
  <si>
    <t>Поступление (акт, накладная, УПД) ДФБП-000022 от 20.01.2025 15:46:15</t>
  </si>
  <si>
    <t>Поступление (акт, накладная, УПД) ДФБП-000035 от 21.01.2025 18:27:25</t>
  </si>
  <si>
    <t>Поступление (акт, накладная, УПД) ДФБП-000034 от 23.01.2025 15:33:10</t>
  </si>
  <si>
    <t>Поступление (акт, накладная, УПД) ДФБП-000025 от 25.01.2025 12:00:00</t>
  </si>
  <si>
    <t>Поступление (акт, накладная, УПД) ДФБП-000026 от 25.01.2025 12:00:01</t>
  </si>
  <si>
    <t>Поступление (акт, накладная, УПД) ДФБП-000027 от 26.01.2025 0:00:00</t>
  </si>
  <si>
    <t>Поступление (акт, накладная, УПД) ДФБП-000023 от 26.01.2025 12:00:00</t>
  </si>
  <si>
    <t>Поступление (акт, накладная, УПД) ДФБП-000024 от 26.01.2025 12:00:01</t>
  </si>
  <si>
    <t>Поступление (акт, накладная, УПД) ДФБП-000028 от 27.01.2025 15:23:41</t>
  </si>
  <si>
    <t>Поступление (акт, накладная, УПД) ДФБП-000032 от 27.01.2025 15:23:42</t>
  </si>
  <si>
    <t>Поступление (акт, накладная, УПД) ДФБП-000033 от 27.01.2025 15:23:43</t>
  </si>
  <si>
    <t>Поступление (акт, накладная, УПД) ДФБП-000037 от 27.01.2025 15:23:44</t>
  </si>
  <si>
    <t>Поступление (акт, накладная, УПД) ДФБП-000038 от 27.01.2025 15:23:45</t>
  </si>
  <si>
    <t>Поступление (акт, накладная, УПД) ДФБП-000060 от 27.01.2025 15:23:46</t>
  </si>
  <si>
    <t>Поступление (акт, накладная, УПД) ДФБП-000029 от 28.01.2025 0:00:01</t>
  </si>
  <si>
    <t>Поступление (акт, накладная, УПД) ДФБП-000030 от 28.01.2025 12:00:00</t>
  </si>
  <si>
    <t>Поступление (акт, накладная, УПД) ДФБП-000031 от 28.01.2025 12:00:01</t>
  </si>
  <si>
    <t>Поступление (акт, накладная, УПД) ДФБП-000036 от 28.01.2025 12:00:02</t>
  </si>
  <si>
    <t>Поступление (акт, накладная, УПД) ДФБП-000053 от 28.01.2025 12:00:09</t>
  </si>
  <si>
    <t>Поступление (акт, накладная, УПД) ДФБП-000061 от 28.01.2025 12:00:10</t>
  </si>
  <si>
    <t>Поступление (акт, накладная, УПД) ДФБП-000062 от 28.01.2025 12:00:11</t>
  </si>
  <si>
    <t>Поступление (акт, накладная, УПД) ДФБП-000041 от 29.01.2025 15:34:44</t>
  </si>
  <si>
    <t>Поступление (акт, накладная, УПД) ДФБП-000042 от 29.01.2025 15:34:45</t>
  </si>
  <si>
    <t>Поступление (акт, накладная, УПД) ДФБП-000063 от 29.01.2025 15:34:47</t>
  </si>
  <si>
    <t>Поступление (акт, накладная, УПД) ДФБП-000064 от 29.01.2025 15:34:48</t>
  </si>
  <si>
    <t>Поступление (акт, накладная, УПД) ДФБП-000065 от 29.01.2025 15:34:49</t>
  </si>
  <si>
    <t>Поступление (акт, накладная, УПД) ДФБП-000068 от 29.01.2025 15:34:50</t>
  </si>
  <si>
    <t>Поступление (акт, накладная, УПД) ДФБП-000069 от 29.01.2025 15:34:51</t>
  </si>
  <si>
    <t>Поступление (акт, накладная, УПД) ДФБП-000049 от 30.01.2025 12:00:05</t>
  </si>
  <si>
    <t>Поступление (акт, накладная, УПД) ДФБП-000050 от 30.01.2025 12:00:06</t>
  </si>
  <si>
    <t>Поступление (акт, накладная, УПД) ДФБП-000054 от 30.01.2025 12:00:07</t>
  </si>
  <si>
    <t>Поступление (акт, накладная, УПД) ДФБП-000055 от 30.01.2025 12:00:08</t>
  </si>
  <si>
    <t>Поступление (акт, накладная, УПД) ДФБП-000056 от 30.01.2025 12:00:09</t>
  </si>
  <si>
    <t>Поступление (акт, накладная, УПД) ДФБП-000066 от 30.01.2025 12:00:10</t>
  </si>
  <si>
    <t>Поступление (акт, накладная, УПД) ДФБП-000052 от 31.01.2025 15:43:29</t>
  </si>
  <si>
    <t>Поступление (акт, накладная, УПД) ДФБП-000078 от 31.01.2025 15:43:30</t>
  </si>
  <si>
    <t>Поступление (акт, накладная, УПД) ДФБП-000085 от 31.01.2025 15:43:31</t>
  </si>
  <si>
    <t>Поступление (акт, накладная, УПД) ДФБП-000047 от 01.02.2025 12:00:00</t>
  </si>
  <si>
    <t>Поступление (акт, накладная, УПД) ДФБП-000048 от 01.02.2025 12:00:01</t>
  </si>
  <si>
    <t>Поступление (акт, накладная, УПД) ДФБП-000079 от 01.02.2025 12:00:02</t>
  </si>
  <si>
    <t>Поступление (акт, накладная, УПД) ДФБП-000080 от 01.02.2025 12:00:03</t>
  </si>
  <si>
    <t>Поступление (акт, накладная, УПД) ДФБП-000081 от 02.02.2025 12:00:00</t>
  </si>
  <si>
    <t>Поступление (акт, накладная, УПД) ДФБП-000082 от 02.02.2025 12:00:01</t>
  </si>
  <si>
    <t>Поступление (акт, накладная, УПД) ДФБП-000083 от 02.02.2025 12:00:02</t>
  </si>
  <si>
    <t>Поступление (акт, накладная, УПД) ДФБП-000084 от 02.02.2025 12:00:03</t>
  </si>
  <si>
    <t>Поступление (акт, накладная, УПД) ДФБП-000300 от 02.02.2025 23:59:59</t>
  </si>
  <si>
    <t>Поступление (акт, накладная, УПД) ДФБП-000244 от 03.02.2025 11:31:38</t>
  </si>
  <si>
    <t>Поступление (акт, накладная, УПД) ДФБП-000245 от 03.02.2025 23:59:59</t>
  </si>
  <si>
    <t>Поступление (акт, накладная, УПД) ДФБП-000090 от 04.02.2025 9:24:30</t>
  </si>
  <si>
    <t>Поступление (акт, накладная, УПД) ДФБП-000091 от 04.02.2025 9:24:31</t>
  </si>
  <si>
    <t>Поступление (акт, накладная, УПД) ДФБП-000092 от 04.02.2025 9:24:32</t>
  </si>
  <si>
    <t>Поступление (акт, накладная, УПД) ДФБП-000093 от 04.02.2025 9:24:33</t>
  </si>
  <si>
    <t>Поступление (акт, накладная, УПД) ДФБП-000143 от 04.02.2025 9:24:36</t>
  </si>
  <si>
    <t>Поступление (акт, накладная, УПД) ДФБП-000144 от 04.02.2025 9:24:37</t>
  </si>
  <si>
    <t>Поступление (акт, накладная, УПД) ДФБП-000301 от 04.02.2025 23:59:58</t>
  </si>
  <si>
    <t>Поступление (акт, накладная, УПД) ДФБП-000242 от 04.02.2025 23:59:59</t>
  </si>
  <si>
    <t>Поступление (акт, накладная, УПД) ДФБП-000243 от 04.02.2025 23:59:59</t>
  </si>
  <si>
    <t>Поступление (акт, накладная, УПД) ДФБП-000072 от 05.02.2025 16:34:36</t>
  </si>
  <si>
    <t>Поступление (акт, накладная, УПД) ДФБП-000089 от 05.02.2025 16:34:37</t>
  </si>
  <si>
    <t>Поступление (акт, накладная, УПД) ДФБП-000141 от 05.02.2025 16:34:39</t>
  </si>
  <si>
    <t>Поступление (акт, накладная, УПД) ДФБП-000238 от 05.02.2025 23:59:59</t>
  </si>
  <si>
    <t>Поступление (акт, накладная, УПД) ДФБП-000239 от 05.02.2025 23:59:59</t>
  </si>
  <si>
    <t>Поступление (акт, накладная, УПД) ДФБП-000240 от 05.02.2025 23:59:59</t>
  </si>
  <si>
    <t>Поступление (акт, накладная, УПД) ДФБП-000241 от 05.02.2025 23:59:59</t>
  </si>
  <si>
    <t>Поступление (акт, накладная, УПД) ДФБП-000073 от 06.02.2025 14:36:33</t>
  </si>
  <si>
    <t>Поступление (акт, накладная, УПД) ДФБП-000074 от 06.02.2025 14:36:34</t>
  </si>
  <si>
    <t>Поступление (акт, накладная, УПД) ДФБП-000075 от 06.02.2025 14:36:35</t>
  </si>
  <si>
    <t>Поступление (акт, накладная, УПД) ДФБП-000076 от 06.02.2025 14:36:36</t>
  </si>
  <si>
    <t>Поступление (акт, накладная, УПД) ДФБП-000077 от 06.02.2025 14:36:37</t>
  </si>
  <si>
    <t>Поступление (акт, накладная, УПД) ДФБП-000087 от 06.02.2025 14:36:38</t>
  </si>
  <si>
    <t>Поступление (акт, накладная, УПД) ДФБП-000088 от 06.02.2025 14:36:39</t>
  </si>
  <si>
    <t>Поступление (акт, накладная, УПД) ДФБП-000236 от 06.02.2025 14:36:44</t>
  </si>
  <si>
    <t>Поступление (акт, накладная, УПД) ДФБП-000237 от 06.02.2025 23:59:59</t>
  </si>
  <si>
    <t>Поступление (акт, накладная, УПД) ДФБП-000086 от 07.02.2025 9:44:23</t>
  </si>
  <si>
    <t>Поступление (акт, накладная, УПД) ДФБП-000142 от 07.02.2025 9:44:30</t>
  </si>
  <si>
    <t>Поступление (акт, накладная, УПД) ДФБП-000234 от 07.02.2025 23:59:59</t>
  </si>
  <si>
    <t>Поступление (акт, накладная, УПД) ДФБП-000235 от 07.02.2025 23:59:59</t>
  </si>
  <si>
    <t>Поступление (акт, накладная, УПД) ДФБП-000216 от 18.02.2025 23:59:59</t>
  </si>
  <si>
    <t>Поступление (акт, накладная, УПД) ДФБП-000217 от 18.02.2025 23:59:59</t>
  </si>
  <si>
    <t>Поступление (акт, накладная, УПД) ДФБП-000218 от 18.02.2025 23:59:59</t>
  </si>
  <si>
    <t>Поступление (акт, накладная, УПД) ДФБП-000219 от 18.02.2025 23:59:59</t>
  </si>
  <si>
    <t>Поступление (акт, накладная, УПД) ДФБП-000220 от 18.02.2025 23:59:59</t>
  </si>
  <si>
    <t>Поступление (акт, накладная, УПД) ДФБП-000221 от 18.02.2025 23:59:59</t>
  </si>
  <si>
    <t>Поступление (акт, накладная, УПД) ДФБП-000222 от 18.02.2025 23:59:59</t>
  </si>
  <si>
    <t>Поступление (акт, накладная, УПД) ДФБП-000223 от 18.02.2025 23:59:59</t>
  </si>
  <si>
    <t>Поступление (акт, накладная, УПД) ДФБП-000224 от 18.02.2025 23:59:59</t>
  </si>
  <si>
    <t>Поступление (акт, накладная, УПД) ДФБП-000225 от 18.02.2025 23:59:59</t>
  </si>
  <si>
    <t>Поступление (акт, накладная, УПД) ДФБП-000226 от 18.02.2025 23:59:59</t>
  </si>
  <si>
    <t>Поступление (акт, накладная, УПД) ДФБП-000227 от 18.02.2025 23:59:59</t>
  </si>
  <si>
    <t>Поступление (акт, накладная, УПД) ДФБП-000228 от 18.02.2025 23:59:59</t>
  </si>
  <si>
    <t>Поступление (акт, накладная, УПД) ДФБП-000229 от 18.02.2025 23:59:59</t>
  </si>
  <si>
    <t>Поступление (акт, накладная, УПД) ДФБП-000230 от 18.02.2025 23:59:59</t>
  </si>
  <si>
    <t>Поступление (акт, накладная, УПД) ДФБП-000231 от 18.02.2025 23:59:59</t>
  </si>
  <si>
    <t>Поступление (акт, накладная, УПД) ДФБП-000232 от 18.02.2025 23:59:59</t>
  </si>
  <si>
    <t>Поступление (акт, накладная, УПД) ДФБП-000233 от 18.02.2025 23:59:59</t>
  </si>
  <si>
    <t>Поступление (акт, накладная, УПД) ДФБП-000302 от 18.02.2025 23:59:59</t>
  </si>
  <si>
    <t>Поступление (акт, накладная, УПД) ДФБП-000303 от 18.02.2025 23:59:59</t>
  </si>
  <si>
    <t>Поступление (акт, накладная, УПД) ДФБП-000208 от 20.02.2025 23:59:59</t>
  </si>
  <si>
    <t>Поступление (акт, накладная, УПД) ДФБП-000209 от 20.02.2025 23:59:59</t>
  </si>
  <si>
    <t>Поступление (акт, накладная, УПД) ДФБП-000210 от 20.02.2025 23:59:59</t>
  </si>
  <si>
    <t>Поступление (акт, накладная, УПД) ДФБП-000211 от 20.02.2025 23:59:59</t>
  </si>
  <si>
    <t>Поступление (акт, накладная, УПД) ДФБП-000212 от 20.02.2025 23:59:59</t>
  </si>
  <si>
    <t>Поступление (акт, накладная, УПД) ДФБП-000213 от 20.02.2025 23:59:59</t>
  </si>
  <si>
    <t>Поступление (акт, накладная, УПД) ДФБП-000214 от 20.02.2025 23:59:59</t>
  </si>
  <si>
    <t>Поступление (акт, накладная, УПД) ДФБП-000215 от 20.02.2025 23:59:59</t>
  </si>
  <si>
    <t>Поступление (акт, накладная, УПД) ДФБП-000304 от 20.02.2025 23:59:59</t>
  </si>
  <si>
    <t>Поступление (акт, накладная, УПД) ДФБП-000305 от 20.02.2025 23:59:59</t>
  </si>
  <si>
    <t>Поступление (акт, накладная, УПД) ДФБП-000306 от 20.02.2025 23:59:59</t>
  </si>
  <si>
    <t>Поступление (акт, накладная, УПД) ДФБП-000307 от 20.02.2025 23:59:59</t>
  </si>
  <si>
    <t>Поступление (акт, накладная, УПД) ДФБП-000308 от 20.02.2025 23:59:59</t>
  </si>
  <si>
    <t>Поступление (акт, накладная, УПД) ДФБП-000309 от 20.02.2025 23:59:59</t>
  </si>
  <si>
    <t>Поступление (акт, накладная, УПД) ДФБП-000310 от 20.02.2025 23:59:59</t>
  </si>
  <si>
    <t>Поступление (акт, накладная, УПД) ДФБП-000311 от 20.02.2025 23:59:59</t>
  </si>
  <si>
    <t>Поступление (акт, накладная, УПД) ДФБП-000312 от 20.02.2025 23:59:59</t>
  </si>
  <si>
    <t>Поступление (акт, накладная, УПД) ДФБП-000313 от 20.02.2025 23:59:59</t>
  </si>
  <si>
    <t>Поступление (акт, накладная, УПД) ДФБП-000205 от 21.02.2025 12:43:40</t>
  </si>
  <si>
    <t>Поступление (акт, накладная, УПД) ДФБП-000206 от 21.02.2025 23:59:59</t>
  </si>
  <si>
    <t>Поступление (акт, накладная, УПД) ДФБП-000207 от 21.02.2025 23:59:59</t>
  </si>
  <si>
    <t>Поступление (акт, накладная, УПД) ДФБП-000314 от 21.02.2025 23:59:59</t>
  </si>
  <si>
    <t>Поступление (акт, накладная, УПД) ДФБП-000315 от 21.02.2025 23:59:59</t>
  </si>
  <si>
    <t>Поступление (акт, накладная, УПД) ДФБП-000316 от 21.02.2025 23:59:59</t>
  </si>
  <si>
    <t>Поступление (акт, накладная, УПД) ДФБП-000201 от 24.02.2025 23:59:59</t>
  </si>
  <si>
    <t>Поступление (акт, накладная, УПД) ДФБП-000202 от 24.02.2025 23:59:59</t>
  </si>
  <si>
    <t>Поступление (акт, накладная, УПД) ДФБП-000203 от 24.02.2025 23:59:59</t>
  </si>
  <si>
    <t>Поступление (акт, накладная, УПД) ДФБП-000204 от 24.02.2025 23:59:59</t>
  </si>
  <si>
    <t>Поступление (акт, накладная, УПД) ДФБП-000317 от 24.02.2025 23:59:59</t>
  </si>
  <si>
    <t>Поступление (акт, накладная, УПД) ДФБП-000318 от 24.02.2025 23:59:59</t>
  </si>
  <si>
    <t>Поступление (акт, накладная, УПД) ДФБП-000319 от 24.02.2025 23:59:59</t>
  </si>
  <si>
    <t>Поступление (акт, накладная, УПД) ДФБП-000320 от 24.02.2025 23:59:59</t>
  </si>
  <si>
    <t>Поступление (акт, накладная, УПД) ДФБП-000321 от 24.02.2025 23:59:59</t>
  </si>
  <si>
    <t>Поступление (акт, накладная, УПД) ДФБП-000197 от 25.02.2025 12:01:00</t>
  </si>
  <si>
    <t>Поступление (акт, накладная, УПД) ДФБП-000198 от 25.02.2025 23:59:59</t>
  </si>
  <si>
    <t>Поступление (акт, накладная, УПД) ДФБП-000199 от 25.02.2025 23:59:59</t>
  </si>
  <si>
    <t>Поступление (акт, накладная, УПД) ДФБП-000200 от 25.02.2025 23:59:59</t>
  </si>
  <si>
    <t>Поступление (акт, накладная, УПД) ДФБП-000322 от 25.02.2025 23:59:59</t>
  </si>
  <si>
    <t>Поступление (акт, накладная, УПД) ДФБП-000323 от 25.02.2025 23:59:59</t>
  </si>
  <si>
    <t>Поступление (акт, накладная, УПД) ДФБП-000324 от 25.02.2025 23:59:59</t>
  </si>
  <si>
    <t>Поступление (акт, накладная, УПД) ДФБП-000325 от 25.02.2025 23:59:59</t>
  </si>
  <si>
    <t>Поступление (акт, накладная, УПД) ДФБП-000328 от 25.02.2025 23:59:59</t>
  </si>
  <si>
    <t>Поступление (акт, накладная, УПД) ДФБП-000194 от 26.02.2025 23:59:58</t>
  </si>
  <si>
    <t>Поступление (акт, накладная, УПД) ДФБП-000195 от 26.02.2025 23:59:59</t>
  </si>
  <si>
    <t>Поступление (акт, накладная, УПД) ДФБП-000196 от 26.02.2025 23:59:59</t>
  </si>
  <si>
    <t>Поступление (акт, накладная, УПД) ДФБП-000188 от 27.02.2025 23:59:58</t>
  </si>
  <si>
    <t>Поступление (акт, накладная, УПД) ДФБП-000190 от 27.02.2025 23:59:58</t>
  </si>
  <si>
    <t>Поступление (акт, накладная, УПД) ДФБП-000192 от 27.02.2025 23:59:58</t>
  </si>
  <si>
    <t>Поступление (акт, накладная, УПД) ДФБП-000193 от 27.02.2025 23:59:58</t>
  </si>
  <si>
    <t>Поступление (акт, накладная, УПД) ДФБП-000191 от 27.02.2025 23:59:59</t>
  </si>
  <si>
    <t>Поступление (акт, накладная, УПД) ДФБП-000326 от 27.02.2025 23:59:59</t>
  </si>
  <si>
    <t>Поступление (акт, накладная, УПД) ДФБП-000327 от 27.02.2025 23:59:59</t>
  </si>
  <si>
    <t>Поступление (акт, накладная, УПД) ДФДФ-000530 от 27.02.2025 23:59:59</t>
  </si>
  <si>
    <t>Поступление (акт, накладная, УПД) ДФБП-000187 от 28.02.2025 23:59:58</t>
  </si>
  <si>
    <t>Поступление (акт, накладная, УПД) ДФБП-000189 от 28.02.2025 23:59:58</t>
  </si>
  <si>
    <t>Поступление (акт, накладная, УПД) ДФБП-000166 от 04.03.2025 23:59:59</t>
  </si>
  <si>
    <t>Поступление (акт, накладная, УПД) ДФДФ-000378 от 04.03.2025 23:59:59</t>
  </si>
  <si>
    <t>Поступление (акт, накладная, УПД) ДФДФ-000460 от 04.03.2025 23:59:59</t>
  </si>
  <si>
    <t>Поступление (акт, накладная, УПД) ДФДФ-000461 от 04.03.2025 23:59:59</t>
  </si>
  <si>
    <t>Поступление (акт, накладная, УПД) ДФБП-000004 от 05.03.2025 23:59:59</t>
  </si>
  <si>
    <t>Поступление (акт, накладная, УПД) ДФДФ-000462 от 05.03.2025 23:59:59</t>
  </si>
  <si>
    <t>Поступление (акт, накладная, УПД) ДФДФ-000463 от 05.03.2025 23:59:59</t>
  </si>
  <si>
    <t>Поступление (акт, накладная, УПД) ДФДФ-000464 от 05.03.2025 23:59:59</t>
  </si>
  <si>
    <t>Поступление (акт, накладная, УПД) ДФДФ-000465 от 05.03.2025 23:59:59</t>
  </si>
  <si>
    <t>Поступление (акт, накладная, УПД) ДФДФ-000466 от 07.03.2025 23:59:59</t>
  </si>
  <si>
    <t>Поступление (акт, накладная, УПД) ДФДФ-000467 от 07.03.2025 23:59:59</t>
  </si>
  <si>
    <t>Поступление (акт, накладная, УПД) ДФДФ-000468 от 07.03.2025 23:59:59</t>
  </si>
  <si>
    <t>Поступление (акт, накладная, УПД) ДФДФ-000469 от 07.03.2025 23:59:59</t>
  </si>
  <si>
    <t>Поступление (акт, накладная, УПД) ДФДФ-000470 от 07.03.2025 23:59:59</t>
  </si>
  <si>
    <t>Поступление (акт, накладная, УПД) ДФДФ-000471 от 07.03.2025 23:59:59</t>
  </si>
  <si>
    <t>Поступление (акт, накладная, УПД) ДФДФ-000473 от 07.03.2025 23:59:59</t>
  </si>
  <si>
    <t>Поступление (акт, накладная, УПД) ДФДФ-000475 от 07.03.2025 23:59:59</t>
  </si>
  <si>
    <t>Поступление (акт, накладная, УПД) ДФДФ-000476 от 07.03.2025 23:59:59</t>
  </si>
  <si>
    <t>Поступление (акт, накладная, УПД) ДФДФ-000477 от 07.03.2025 23:59:59</t>
  </si>
  <si>
    <t>Поступление (акт, накладная, УПД) ДФДФ-000478 от 07.03.2025 23:59:59</t>
  </si>
  <si>
    <t>Поступление (акт, накладная, УПД) ДФДФ-000479 от 07.03.2025 23:59:59</t>
  </si>
  <si>
    <t>Поступление (акт, накладная, УПД) ДФБП-000329 от 10.03.2025 23:59:59</t>
  </si>
  <si>
    <t>Поступление (акт, накладная, УПД) ДФБП-000330 от 10.03.2025 23:59:59</t>
  </si>
  <si>
    <t>Поступление (акт, накладная, УПД) ДФБП-000331 от 10.03.2025 23:59:59</t>
  </si>
  <si>
    <t>Поступление (акт, накладная, УПД) ДФБП-000338 от 10.03.2025 23:59:59</t>
  </si>
  <si>
    <t>Поступление (акт, накладная, УПД) ДФДФ-000366 от 10.03.2025 23:59:59</t>
  </si>
  <si>
    <t>Поступление (акт, накладная, УПД) ДФДФ-000480 от 10.03.2025 23:59:59</t>
  </si>
  <si>
    <t>Поступление (акт, накладная, УПД) ДФДФ-000481 от 10.03.2025 23:59:59</t>
  </si>
  <si>
    <t>Поступление (акт, накладная, УПД) ДФДФ-000482 от 10.03.2025 23:59:59</t>
  </si>
  <si>
    <t>Поступление (акт, накладная, УПД) ДФДФ-000483 от 10.03.2025 23:59:59</t>
  </si>
  <si>
    <t>Поступление (акт, накладная, УПД) ДФДФ-000484 от 10.03.2025 23:59:59</t>
  </si>
  <si>
    <t>Поступление (акт, накладная, УПД) ДФДФ-000485 от 10.03.2025 23:59:59</t>
  </si>
  <si>
    <t>Поступление (акт, накладная, УПД) ДФДФ-000486 от 10.03.2025 23:59:59</t>
  </si>
  <si>
    <t>Поступление (акт, накладная, УПД) ДФДФ-000487 от 10.03.2025 23:59:59</t>
  </si>
  <si>
    <t>Поступление (акт, накладная, УПД) ДФДФ-000488 от 10.03.2025 23:59:59</t>
  </si>
  <si>
    <t>Поступление (акт, накладная, УПД) ДФДФ-000489 от 10.03.2025 23:59:59</t>
  </si>
  <si>
    <t>Поступление (акт, накладная, УПД) ДФДФ-000490 от 10.03.2025 23:59:59</t>
  </si>
  <si>
    <t>Поступление (акт, накладная, УПД) ДФДФ-000491 от 10.03.2025 23:59:59</t>
  </si>
  <si>
    <t>Поступление (акт, накладная, УПД) ДФДФ-000492 от 10.03.2025 23:59:59</t>
  </si>
  <si>
    <t>Поступление (акт, накладная, УПД) ДФДФ-000493 от 10.03.2025 23:59:59</t>
  </si>
  <si>
    <t>Поступление (акт, накладная, УПД) ДФДФ-000494 от 10.03.2025 23:59:59</t>
  </si>
  <si>
    <t>Поступление (акт, накладная, УПД) ДФДФ-000495 от 10.03.2025 23:59:59</t>
  </si>
  <si>
    <t>Поступление (акт, накладная, УПД) ДФДФ-000496 от 10.03.2025 23:59:59</t>
  </si>
  <si>
    <t>Поступление (акт, накладная, УПД) ДФДФ-000500 от 10.03.2025 23:59:59</t>
  </si>
  <si>
    <t>Поступление (акт, накладная, УПД) ДФДФ-000501 от 10.03.2025 23:59:59</t>
  </si>
  <si>
    <t>Поступление (акт, накладная, УПД) ДФБП-000332 от 11.03.2025 23:59:59</t>
  </si>
  <si>
    <t>Поступление (акт, накладная, УПД) ДФБП-000333 от 11.03.2025 23:59:59</t>
  </si>
  <si>
    <t>Поступление (акт, накладная, УПД) ДФБП-000334 от 11.03.2025 23:59:59</t>
  </si>
  <si>
    <t>Поступление (акт, накладная, УПД) ДФБП-000335 от 11.03.2025 23:59:59</t>
  </si>
  <si>
    <t>Поступление (акт, накладная, УПД) ДФБП-000336 от 11.03.2025 23:59:59</t>
  </si>
  <si>
    <t>Поступление (акт, накладная, УПД) ДФБП-000337 от 11.03.2025 23:59:59</t>
  </si>
  <si>
    <t>Поступление (акт, накладная, УПД) ДФДФ-000497 от 11.03.2025 23:59:59</t>
  </si>
  <si>
    <t>Поступление (акт, накладная, УПД) ДФДФ-000498 от 11.03.2025 23:59:59</t>
  </si>
  <si>
    <t>Поступление (акт, накладная, УПД) ДФДФ-000499 от 11.03.2025 23:59:59</t>
  </si>
  <si>
    <t>Поступление (акт, накладная, УПД) ДФДФ-000502 от 11.03.2025 23:59:59</t>
  </si>
  <si>
    <t>Поступление (акт, накладная, УПД) ДФБП-000339 от 12.03.2025 23:59:59</t>
  </si>
  <si>
    <t>Поступление (акт, накладная, УПД) ДФБП-000340 от 12.03.2025 23:59:59</t>
  </si>
  <si>
    <t>Поступление (акт, накладная, УПД) ДФБП-000341 от 12.03.2025 23:59:59</t>
  </si>
  <si>
    <t>Поступление (акт, накладная, УПД) ДФБП-000342 от 13.03.2025 23:59:59</t>
  </si>
  <si>
    <t>Поступление (акт, накладная, УПД) ДФБП-000343 от 13.03.2025 23:59:59</t>
  </si>
  <si>
    <t>Поступление (акт, накладная, УПД) ДФБП-000344 от 13.03.2025 23:59:59</t>
  </si>
  <si>
    <t>Поступление (акт, накладная, УПД) ДФБП-000345 от 13.03.2025 23:59:59</t>
  </si>
  <si>
    <t>Поступление (акт, накладная, УПД) ДФБП-000346 от 13.03.2025 23:59:59</t>
  </si>
  <si>
    <t>Поступление (акт, накладная, УПД) ДФДФ-000367 от 13.03.2025 23:59:59</t>
  </si>
  <si>
    <t>Поступление (акт, накладная, УПД) ДФБП-000293 от 14.03.2025 23:59:59</t>
  </si>
  <si>
    <t>Поступление (акт, накладная, УПД) ДФБП-000296 от 14.03.2025 23:59:59</t>
  </si>
  <si>
    <t>Поступление (акт, накладная, УПД) ДФБП-000347 от 14.03.2025 23:59:59</t>
  </si>
  <si>
    <t>Поступление (акт, накладная, УПД) ДФДФ-000504 от 15.03.2025 23:59:59</t>
  </si>
  <si>
    <t>Поступление (акт, накладная, УПД) ДФБП-000286 от 17.03.2025 15:41:51</t>
  </si>
  <si>
    <t>Поступление (акт, накладная, УПД) ДФБП-000287 от 17.03.2025 23:59:59</t>
  </si>
  <si>
    <t>Поступление (акт, накладная, УПД) ДФБП-000288 от 17.03.2025 23:59:59</t>
  </si>
  <si>
    <t>Поступление (акт, накладная, УПД) ДФБП-000289 от 17.03.2025 23:59:59</t>
  </si>
  <si>
    <t>Поступление (акт, накладная, УПД) ДФБП-000290 от 17.03.2025 23:59:59</t>
  </si>
  <si>
    <t>Поступление (акт, накладная, УПД) ДФБП-000291 от 17.03.2025 23:59:59</t>
  </si>
  <si>
    <t>Поступление (акт, накладная, УПД) ДФБП-000292 от 17.03.2025 23:59:59</t>
  </si>
  <si>
    <t>Поступление (акт, накладная, УПД) ДФБП-000294 от 17.03.2025 23:59:59</t>
  </si>
  <si>
    <t>Поступление (акт, накладная, УПД) ДФБП-000295 от 17.03.2025 23:59:59</t>
  </si>
  <si>
    <t>Поступление (акт, накладная, УПД) ДФДФ-000368 от 17.03.2025 23:59:59</t>
  </si>
  <si>
    <t>Поступление (акт, накладная, УПД) ДФДФ-000388 от 18.03.2025 23:59:59</t>
  </si>
  <si>
    <t>Поступление (акт, накладная, УПД) ДФДФ-000389 от 18.03.2025 23:59:59</t>
  </si>
  <si>
    <t>Поступление (акт, накладная, УПД) ДФДФ-000390 от 18.03.2025 23:59:59</t>
  </si>
  <si>
    <t>Поступление (акт, накладная, УПД) ДФДФ-000379 от 19.03.2025 23:59:59</t>
  </si>
  <si>
    <t>Поступление (акт, накладная, УПД) ДФДФ-000380 от 19.03.2025 23:59:59</t>
  </si>
  <si>
    <t>Поступление (акт, накладная, УПД) ДФДФ-000381 от 19.03.2025 23:59:59</t>
  </si>
  <si>
    <t>Поступление (акт, накладная, УПД) ДФДФ-000382 от 19.03.2025 23:59:59</t>
  </si>
  <si>
    <t>Поступление (акт, накладная, УПД) ДФДФ-000383 от 19.03.2025 23:59:59</t>
  </si>
  <si>
    <t>Поступление (акт, накладная, УПД) ДФДФ-000384 от 19.03.2025 23:59:59</t>
  </si>
  <si>
    <t>Поступление (акт, накладная, УПД) ДФДФ-000385 от 19.03.2025 23:59:59</t>
  </si>
  <si>
    <t>Поступление (акт, накладная, УПД) ДФДФ-000386 от 19.03.2025 23:59:59</t>
  </si>
  <si>
    <t>Поступление (акт, накладная, УПД) ДФДФ-000387 от 19.03.2025 23:59:59</t>
  </si>
  <si>
    <t>Поступление (акт, накладная, УПД) ДФДФ-000506 от 19.03.2025 23:59:59</t>
  </si>
  <si>
    <t>Поступление (акт, накладная, УПД) ДФДФ-000371 от 20.03.2025 23:59:59</t>
  </si>
  <si>
    <t>Поступление (акт, накладная, УПД) ДФДФ-000372 от 20.03.2025 23:59:59</t>
  </si>
  <si>
    <t>Поступление (акт, накладная, УПД) ДФДФ-000375 от 20.03.2025 23:59:59</t>
  </si>
  <si>
    <t>Поступление (акт, накладная, УПД) ДФДФ-000376 от 20.03.2025 23:59:59</t>
  </si>
  <si>
    <t>Поступление (акт, накладная, УПД) ДФДФ-000377 от 20.03.2025 23:59:59</t>
  </si>
  <si>
    <t>Поступление (акт, накладная, УПД) ДФДФ-000370 от 21.03.2025 23:59:59</t>
  </si>
  <si>
    <t>Поступление (акт, накладная, УПД) ДФДФ-000373 от 21.03.2025 23:59:59</t>
  </si>
  <si>
    <t>Поступление (акт, накладная, УПД) ДФДФ-000374 от 21.03.2025 23:59:59</t>
  </si>
  <si>
    <t>Поступление (акт, накладная, УПД) ДФДФ-000421 от 21.03.2025 23:59:59</t>
  </si>
  <si>
    <t>Поступление (акт, накладная, УПД) ДФДФ-000422 от 21.03.2025 23:59:59</t>
  </si>
  <si>
    <t>Поступление (акт, накладная, УПД) ДФДФ-000423 от 21.03.2025 23:59:59</t>
  </si>
  <si>
    <t>Поступление (акт, накладная, УПД) ДФДФ-000507 от 21.03.2025 23:59:59</t>
  </si>
  <si>
    <t>Поступление (акт, накладная, УПД) ДФДФ-000369 от 22.03.2025 23:59:59</t>
  </si>
  <si>
    <t>Поступление (акт, накладная, УПД) ДФДФ-000418 от 22.03.2025 23:59:59</t>
  </si>
  <si>
    <t>Поступление (акт, накладная, УПД) ДФДФ-000419 от 22.03.2025 23:59:59</t>
  </si>
  <si>
    <t>Поступление (акт, накладная, УПД) ДФДФ-000420 от 22.03.2025 23:59:59</t>
  </si>
  <si>
    <t>Поступление (акт, накладная, УПД) ДФДФ-000414 от 23.03.2025 23:59:59</t>
  </si>
  <si>
    <t>Поступление (акт, накладная, УПД) ДФДФ-000415 от 23.03.2025 23:59:59</t>
  </si>
  <si>
    <t>Поступление (акт, накладная, УПД) ДФДФ-000416 от 23.03.2025 23:59:59</t>
  </si>
  <si>
    <t>Поступление (акт, накладная, УПД) ДФДФ-000417 от 23.03.2025 23:59:59</t>
  </si>
  <si>
    <t>Поступление (акт, накладная, УПД) ДФДФ-000508 от 23.03.2025 23:59:59</t>
  </si>
  <si>
    <t>Поступление (акт, накладная, УПД) ДФДФ-000509 от 23.03.2025 23:59:59</t>
  </si>
  <si>
    <t>Поступление (акт, накладная, УПД) ДФДФ-000510 от 23.03.2025 23:59:59</t>
  </si>
  <si>
    <t>Поступление (акт, накладная, УПД) ДФДФ-000406 от 24.03.2025 23:59:59</t>
  </si>
  <si>
    <t>Поступление (акт, накладная, УПД) ДФДФ-000407 от 24.03.2025 23:59:59</t>
  </si>
  <si>
    <t>Поступление (акт, накладная, УПД) ДФДФ-000408 от 24.03.2025 23:59:59</t>
  </si>
  <si>
    <t>Поступление (акт, накладная, УПД) ДФДФ-000409 от 24.03.2025 23:59:59</t>
  </si>
  <si>
    <t>Поступление (акт, накладная, УПД) ДФДФ-000410 от 24.03.2025 23:59:59</t>
  </si>
  <si>
    <t>Поступление (акт, накладная, УПД) ДФДФ-000411 от 24.03.2025 23:59:59</t>
  </si>
  <si>
    <t>Поступление (акт, накладная, УПД) ДФДФ-000412 от 24.03.2025 23:59:59</t>
  </si>
  <si>
    <t>Поступление (акт, накладная, УПД) ДФДФ-000413 от 24.03.2025 23:59:59</t>
  </si>
  <si>
    <t>Поступление (акт, накладная, УПД) ДФДФ-000511 от 24.03.2025 23:59:59</t>
  </si>
  <si>
    <t>Поступление (акт, накладная, УПД) ДФДФ-000512 от 24.03.2025 23:59:59</t>
  </si>
  <si>
    <t>Поступление (акт, накладная, УПД) ДФДФ-000513 от 24.03.2025 23:59:59</t>
  </si>
  <si>
    <t>Поступление (акт, накладная, УПД) ДФДФ-000402 от 25.03.2025 23:59:59</t>
  </si>
  <si>
    <t>Поступление (акт, накладная, УПД) ДФДФ-000403 от 25.03.2025 23:59:59</t>
  </si>
  <si>
    <t>Поступление (акт, накладная, УПД) ДФДФ-000404 от 25.03.2025 23:59:59</t>
  </si>
  <si>
    <t>Поступление (акт, накладная, УПД) ДФДФ-000405 от 25.03.2025 23:59:59</t>
  </si>
  <si>
    <t>Поступление (акт, накладная, УПД) ДФДФ-000514 от 25.03.2025 23:59:59</t>
  </si>
  <si>
    <t>Поступление (акт, накладная, УПД) ДФДФ-000392 от 26.03.2025 23:59:59</t>
  </si>
  <si>
    <t>Поступление (акт, накладная, УПД) ДФДФ-000393 от 26.03.2025 23:59:59</t>
  </si>
  <si>
    <t>Поступление (акт, накладная, УПД) ДФДФ-000394 от 26.03.2025 23:59:59</t>
  </si>
  <si>
    <t>Поступление (акт, накладная, УПД) ДФДФ-000395 от 26.03.2025 23:59:59</t>
  </si>
  <si>
    <t>Поступление (акт, накладная, УПД) ДФДФ-000396 от 26.03.2025 23:59:59</t>
  </si>
  <si>
    <t>Поступление (акт, накладная, УПД) ДФДФ-000397 от 26.03.2025 23:59:59</t>
  </si>
  <si>
    <t>Поступление (акт, накладная, УПД) ДФДФ-000398 от 26.03.2025 23:59:59</t>
  </si>
  <si>
    <t>Поступление (акт, накладная, УПД) ДФДФ-000399 от 26.03.2025 23:59:59</t>
  </si>
  <si>
    <t>Поступление (акт, накладная, УПД) ДФДФ-000400 от 26.03.2025 23:59:59</t>
  </si>
  <si>
    <t>Поступление (акт, накладная, УПД) ДФДФ-000401 от 26.03.2025 23:59:59</t>
  </si>
  <si>
    <t>Поступление (акт, накладная, УПД) ДФДФ-000391 от 27.03.2025 17:32:59</t>
  </si>
  <si>
    <t>Поступление (акт, накладная, УПД) ДФДФ-000515 от 27.03.2025 23:59:59</t>
  </si>
  <si>
    <t>Поступление (акт, накладная, УПД) ДФДФ-000516 от 27.03.2025 23:59:59</t>
  </si>
  <si>
    <t>Поступление (акт, накладная, УПД) ДФДФ-000517 от 27.03.2025 23:59:59</t>
  </si>
  <si>
    <t>Поступление (акт, накладная, УПД) ДФДФ-000518 от 27.03.2025 23:59:59</t>
  </si>
  <si>
    <t>Поступление (акт, накладная, УПД) ДФДФ-000519 от 29.03.2025 23:59:59</t>
  </si>
  <si>
    <t>Поступление (акт, накладная, УПД) ДФДФ-000520 от 30.03.2025 23:59:59</t>
  </si>
  <si>
    <t>Поступление (акт, накладная, УПД) ДФДФ-000503 от 31.03.2025 23:59:59</t>
  </si>
  <si>
    <t>Поступление (акт, накладная, УПД) ДФДФ-000505 от 31.03.2025 23:59:59</t>
  </si>
  <si>
    <t>Поступление (акт, накладная, УПД) ДФДФ-000521 от 31.03.2025 23:59:59</t>
  </si>
  <si>
    <t>Поступление (акт, накладная, УПД) ДФДФ-000522 от 31.03.2025 23:59:59</t>
  </si>
  <si>
    <t>Поступление (акт, накладная, УПД) ДФДФ-000525 от 31.03.2025 23:59:59</t>
  </si>
  <si>
    <t>Поступление (акт, накладная, УПД) ДФБП-000119 от 15.01.2025 9:38:11</t>
  </si>
  <si>
    <t>Поступление (акт, накладная, УПД) ДФБП-000134 от 07.02.2025 9:44:29</t>
  </si>
  <si>
    <t>КОНСАЛТИКАПЛЮС ООО</t>
  </si>
  <si>
    <t>Поступление (акт, накладная, УПД) ДФБП-000007 от 10.01.2025 0:00:15</t>
  </si>
  <si>
    <t>Поступление (акт, накладная, УПД) ДФБП-000157 от 27.02.2025 12:00:03</t>
  </si>
  <si>
    <t>МЕТАЛЛИЧЕСКАЯ МЕБЕЛЬ ООО</t>
  </si>
  <si>
    <t>Поступление (акт, накладная, УПД) ДФБП-000258 от 27.02.2025 23:59:59</t>
  </si>
  <si>
    <t>МЕТАЛЛСЕРВИС-МОСКВА ООО</t>
  </si>
  <si>
    <t>Поступление (акт, накладная, УПД) ДФДФ-000355 от 19.03.2025 23:59:58</t>
  </si>
  <si>
    <t>Поступление (акт, накладная, УПД) ДФБП-000354 от 31.03.2025 23:59:58</t>
  </si>
  <si>
    <t>МЕТИЗ - ПЗУ ООО</t>
  </si>
  <si>
    <t>Поступление (акт, накладная, УПД) ДФБП-000255 от 13.03.2025 23:59:59</t>
  </si>
  <si>
    <t>Муртазалиев Рабадан Султанбекович</t>
  </si>
  <si>
    <t>Поступление (акт, накладная, УПД) ДФБП-000149 от 28.02.2025 12:00:08</t>
  </si>
  <si>
    <t>ОНЛАЙН-ОЙЛ ООО</t>
  </si>
  <si>
    <t>Поступление (акт, накладная, УПД) ДФБП-000251 от 24.02.2025 23:59:59</t>
  </si>
  <si>
    <t>Поступление (акт, накладная, УПД) ДФБП-000250 от 26.02.2025 23:59:59</t>
  </si>
  <si>
    <t>Поступление (акт, накладная, УПД) ДФБП-000249 от 28.02.2025 23:59:59</t>
  </si>
  <si>
    <t>Поступление (акт, накладная, УПД) ДФБП-000248 от 03.03.2025 23:59:59</t>
  </si>
  <si>
    <t>Поступление (акт, накладная, УПД) ДФБП-000247 от 06.03.2025 11:51:00</t>
  </si>
  <si>
    <t>Поступление (акт, накладная, УПД) ДФБП-000246 от 08.03.2025 12:00:00</t>
  </si>
  <si>
    <t>Поступление (акт, накладная, УПД) ДФБП-000252 от 13.03.2025 23:59:59</t>
  </si>
  <si>
    <t>Поступление (акт, накладная, УПД) ДФБП-000253 от 19.03.2025 23:59:59</t>
  </si>
  <si>
    <t>Поступление (акт, накладная, УПД) ДФБП-000350 от 22.03.2025 23:59:59</t>
  </si>
  <si>
    <t>Поступление (акт, накладная, УПД) ДФБП-000349 от 30.03.2025 23:59:59</t>
  </si>
  <si>
    <t>ОФИС ТРЕНД ООО</t>
  </si>
  <si>
    <t>Поступление (акт, накладная, УПД) ДФБП-000003 от 16.01.2025 12:00:00</t>
  </si>
  <si>
    <t>Поступление (акт, накладная, УПД) ДФБП-000005 от 21.01.2025 9:27:49</t>
  </si>
  <si>
    <t>Поступление (акт, накладная, УПД) ДФБП-000161 от 12.03.2025 16:41:47</t>
  </si>
  <si>
    <t>ПК МЕТИЗКОМПЛЕКТ ООО</t>
  </si>
  <si>
    <t>Поступление (акт, накладная, УПД) ДФБП-000352 от 21.03.2025 23:59:59</t>
  </si>
  <si>
    <t>Поступление (акт, накладная, УПД) ДФБП-000011 от 21.01.2025 18:27:17</t>
  </si>
  <si>
    <t>Поступление (акт, накладная, УПД) ДФБП-000012 от 21.01.2025 18:27:18</t>
  </si>
  <si>
    <t>Поступление (акт, накладная, УПД) ДФБП-000107 от 24.01.2025 14:50:35</t>
  </si>
  <si>
    <t>Поступление (акт, накладная, УПД) ДФБП-000109 от 29.01.2025 15:34:53</t>
  </si>
  <si>
    <t>Поступление (акт, накладная, УПД) ДФБП-000110 от 29.01.2025 15:34:54</t>
  </si>
  <si>
    <t>Поступление (акт, накладная, УПД) ДФБП-000111 от 29.01.2025 15:34:55</t>
  </si>
  <si>
    <t>Поступление (акт, накладная, УПД) ДФБП-000133 от 12.02.2025 12:00:00</t>
  </si>
  <si>
    <t>Поступление (акт, накладная, УПД) ДФБП-000140 от 24.02.2025 13:57:28</t>
  </si>
  <si>
    <t>Поступление (акт, накладная, УПД) ДФБП-000159 от 25.02.2025 12:00:59</t>
  </si>
  <si>
    <t>Поступление (акт, накладная, УПД) ДФБП-000139 от 26.02.2025 13:08:40</t>
  </si>
  <si>
    <t>Поступление (акт, накладная, УПД) ДФБП-000147 от 04.03.2025 14:56:55</t>
  </si>
  <si>
    <t>Поступление (акт, накладная, УПД) ДФБП-000160 от 04.03.2025 14:56:58</t>
  </si>
  <si>
    <t>Поступление (акт, накладная, УПД) ДФБП-000002 от 10.01.2025 0:00:14</t>
  </si>
  <si>
    <t>Поступление (акт, накладная, УПД) ДФБП-000020 от 27.01.2025 15:23:40</t>
  </si>
  <si>
    <t>Поступление (акт, накладная, УПД) ДФБП-000059 от 03.02.2025 11:31:33</t>
  </si>
  <si>
    <t>Поступление (акт, накладная, УПД) ДФБП-000094 от 10.02.2025 12:00:10</t>
  </si>
  <si>
    <t>Поступление (акт, накладная, УПД) ДФБП-000145 от 03.03.2025 13:28:23</t>
  </si>
  <si>
    <t>Поступление (акт, накладная, УПД) ДФБП-000270 от 10.03.2025 23:59:59</t>
  </si>
  <si>
    <t>ТД ЧИСТАЯ ВОДА ООО</t>
  </si>
  <si>
    <t>Поступление (акт, накладная, УПД) ДФБП-000039 от 23.01.2025 15:33:11</t>
  </si>
  <si>
    <t>Поступление (акт, накладная, УПД) ДФБП-000103 от 17.02.2025 11:17:38</t>
  </si>
  <si>
    <t>Поступление (акт, накладная, УПД) ДФБП-000138 от 03.03.2025 13:28:22</t>
  </si>
  <si>
    <t>Поступление (акт, накладная, УПД) ДФБП-000181 от 13.03.2025 12:12:53</t>
  </si>
  <si>
    <t>Поступление (акт, накладная, УПД) ДФБП-000268 от 24.03.2025 14:15:03</t>
  </si>
  <si>
    <t>ТЕНТ-ОПТ ООО</t>
  </si>
  <si>
    <t>Поступление (акт, накладная, УПД) ДФДФ-000456 от 25.03.2025 23:59:59</t>
  </si>
  <si>
    <t>ТЕХМОНТАЖКОМПЛЕКТ ООО СК</t>
  </si>
  <si>
    <t>Поступление (акт, накладная, УПД) ДФБП-000269 от 24.02.2025 8:49:24</t>
  </si>
  <si>
    <t>Поступление (акт, накладная, УПД) ДФБП-000130 от 06.02.2025 14:36:42</t>
  </si>
  <si>
    <t>Поступление (акт, накладная, УПД) ДФБП-000131 от 21.02.2025 12:43:39</t>
  </si>
  <si>
    <t>Поступление (акт, накладная, УПД) ДФБП-000148 от 28.02.2025 12:00:07</t>
  </si>
  <si>
    <t>Поступление (акт, накладная, УПД) ДФБП-000262 от 20.03.2025 23:59:59</t>
  </si>
  <si>
    <t>Поступление (акт, накладная, УПД) ДФБП-000266 от 20.03.2025 23:59:59</t>
  </si>
  <si>
    <t>ЭНЕРГОПРОМ ООО</t>
  </si>
  <si>
    <t>Поступление (акт, накладная, УПД) ДФБП-000132 от 19.02.2025 23:34:23</t>
  </si>
  <si>
    <t>Поступление (акт, накладная, УПД) ДФБП-000156 от 03.03.2025 13:28:25</t>
  </si>
  <si>
    <t>Поступление (акт, накладная, УПД) ДФБП-000273 от 03.03.2025 23:59:59</t>
  </si>
  <si>
    <t>Поступление (акт, накладная, УПД) ДФБП-000254 от 07.03.2025 10:27:07</t>
  </si>
  <si>
    <t>Поступление (акт, накладная, УПД) ДФБП-000274 от 19.03.2025 23:59:59</t>
  </si>
  <si>
    <t>Поступление (акт, накладная, УПД) ДФБП-000275 от 26.03.2025 14:16:24</t>
  </si>
  <si>
    <t>ЭР-ТЕЛЕКОМ ХОЛДИНГ АО</t>
  </si>
  <si>
    <t>Поступление (акт, накладная, УПД) ДФБП-000096 от 09.01.2025 12:00:00</t>
  </si>
  <si>
    <t>Поступление (акт, накладная, УПД) ДФБП-000099 от 01.02.2025 12:00:04</t>
  </si>
  <si>
    <t>АВТО-ПАРТНЕР ООО</t>
  </si>
  <si>
    <t>Поступление (акт, накладная, УПД) ДФБП-000186 от 11.02.2025 12:00:01</t>
  </si>
  <si>
    <t>Поступление (акт, накладная, УПД) ДФБП-000112 от 21.01.2025 18:27:26</t>
  </si>
  <si>
    <t>Поступление (акт, накладная, УПД) ДФБП-000114 от 24.01.2025 14:50:36</t>
  </si>
  <si>
    <t>Поступление (акт, накладная, УПД) ДФБП-000115 от 29.01.2025 15:34:56</t>
  </si>
  <si>
    <t>Поступление (акт, накладная, УПД) ДФБП-000113 от 31.01.2025 23:59:59</t>
  </si>
  <si>
    <t>Поступление (акт, накладная, УПД) ДФБП-000116 от 31.01.2025 23:59:59</t>
  </si>
  <si>
    <t>Поступление (акт, накладная, УПД) ДФДФ-000427 от 19.02.2025 23:59:59</t>
  </si>
  <si>
    <t>Поступление (акт, накладная, УПД) ДФДФ-000428 от 28.03.2025 12:00:03</t>
  </si>
  <si>
    <t>Поступление доп. расходов ДФБП-000128 от 17.01.2025 11:01:28</t>
  </si>
  <si>
    <t>Поступление доп. расходов ДФБП-000129 от 17.01.2025 23:59:59</t>
  </si>
  <si>
    <t>Поступление доп. расходов ДФБП-000130 от 17.01.2025 23:59:59</t>
  </si>
  <si>
    <t>Поступление доп. расходов ДФБП-000126 от 18.01.2025 12:00:02</t>
  </si>
  <si>
    <t>Поступление доп. расходов ДФБП-000127 от 18.01.2025 23:59:59</t>
  </si>
  <si>
    <t>Поступление доп. расходов ДФБП-000123 от 20.01.2025 15:46:17</t>
  </si>
  <si>
    <t>Поступление доп. расходов ДФБП-000124 от 20.01.2025 15:46:18</t>
  </si>
  <si>
    <t>Поступление доп. расходов ДФБП-000125 от 20.01.2025 23:59:59</t>
  </si>
  <si>
    <t>Поступление доп. расходов ДФБП-000122 от 21.01.2025 23:59:59</t>
  </si>
  <si>
    <t>Поступление доп. расходов ДФБП-000120 от 23.01.2025 23:59:59</t>
  </si>
  <si>
    <t>Поступление доп. расходов ДФБП-000118 от 25.01.2025 23:59:59</t>
  </si>
  <si>
    <t>Поступление доп. расходов ДФБП-000119 от 25.01.2025 23:59:59</t>
  </si>
  <si>
    <t>Поступление доп. расходов ДФБП-000115 от 26.01.2025 23:59:59</t>
  </si>
  <si>
    <t>Поступление доп. расходов ДФБП-000116 от 26.01.2025 23:59:59</t>
  </si>
  <si>
    <t>Поступление доп. расходов ДФБП-000117 от 26.01.2025 23:59:59</t>
  </si>
  <si>
    <t>Поступление доп. расходов ДФБП-000109 от 27.01.2025 23:59:59</t>
  </si>
  <si>
    <t>Поступление доп. расходов ДФБП-000110 от 27.01.2025 23:59:59</t>
  </si>
  <si>
    <t>Поступление доп. расходов ДФБП-000111 от 27.01.2025 23:59:59</t>
  </si>
  <si>
    <t>Поступление доп. расходов ДФБП-000112 от 27.01.2025 23:59:59</t>
  </si>
  <si>
    <t>Поступление доп. расходов ДФБП-000113 от 27.01.2025 23:59:59</t>
  </si>
  <si>
    <t>Поступление доп. расходов ДФБП-000114 от 27.01.2025 23:59:59</t>
  </si>
  <si>
    <t>Поступление доп. расходов ДФБП-000102 от 28.01.2025 23:59:59</t>
  </si>
  <si>
    <t>Поступление доп. расходов ДФБП-000103 от 28.01.2025 23:59:59</t>
  </si>
  <si>
    <t>Поступление доп. расходов ДФБП-000104 от 28.01.2025 23:59:59</t>
  </si>
  <si>
    <t>Поступление доп. расходов ДФБП-000105 от 28.01.2025 23:59:59</t>
  </si>
  <si>
    <t>Поступление доп. расходов ДФБП-000106 от 28.01.2025 23:59:59</t>
  </si>
  <si>
    <t>Поступление доп. расходов ДФБП-000107 от 28.01.2025 23:59:59</t>
  </si>
  <si>
    <t>Поступление доп. расходов ДФБП-000108 от 28.01.2025 23:59:59</t>
  </si>
  <si>
    <t>Поступление доп. расходов ДФБП-000099 от 29.01.2025 23:59:58</t>
  </si>
  <si>
    <t>Поступление доп. расходов ДФБП-000095 от 29.01.2025 23:59:59</t>
  </si>
  <si>
    <t>Поступление доп. расходов ДФБП-000096 от 29.01.2025 23:59:59</t>
  </si>
  <si>
    <t>Поступление доп. расходов ДФБП-000097 от 29.01.2025 23:59:59</t>
  </si>
  <si>
    <t>Поступление доп. расходов ДФБП-000098 от 29.01.2025 23:59:59</t>
  </si>
  <si>
    <t>Поступление доп. расходов ДФБП-000100 от 29.01.2025 23:59:59</t>
  </si>
  <si>
    <t>Поступление доп. расходов ДФБП-000101 от 29.01.2025 23:59:59</t>
  </si>
  <si>
    <t>Поступление доп. расходов ДФБП-000089 от 30.01.2025 23:59:59</t>
  </si>
  <si>
    <t>Поступление доп. расходов ДФБП-000090 от 30.01.2025 23:59:59</t>
  </si>
  <si>
    <t>Поступление доп. расходов ДФБП-000091 от 30.01.2025 23:59:59</t>
  </si>
  <si>
    <t>Поступление доп. расходов ДФБП-000092 от 30.01.2025 23:59:59</t>
  </si>
  <si>
    <t>Поступление доп. расходов ДФБП-000093 от 30.01.2025 23:59:59</t>
  </si>
  <si>
    <t>Поступление доп. расходов ДФБП-000094 от 30.01.2025 23:59:59</t>
  </si>
  <si>
    <t>Поступление доп. расходов ДФБП-000086 от 31.01.2025 23:59:59</t>
  </si>
  <si>
    <t>Поступление доп. расходов ДФБП-000087 от 31.01.2025 23:59:59</t>
  </si>
  <si>
    <t>Поступление доп. расходов ДФБП-000088 от 31.01.2025 23:59:59</t>
  </si>
  <si>
    <t>Поступление доп. расходов ДФБП-000060 от 01.02.2025 12:00:05</t>
  </si>
  <si>
    <t>Поступление доп. расходов ДФБП-000061 от 01.02.2025 12:00:06</t>
  </si>
  <si>
    <t>Поступление доп. расходов ДФБП-000062 от 01.02.2025 12:00:07</t>
  </si>
  <si>
    <t>Поступление доп. расходов ДФБП-000063 от 01.02.2025 23:59:59</t>
  </si>
  <si>
    <t>Поступление доп. расходов ДФБП-000064 от 02.02.2025 23:59:59</t>
  </si>
  <si>
    <t>Поступление доп. расходов ДФБП-000065 от 02.02.2025 23:59:59</t>
  </si>
  <si>
    <t>Поступление доп. расходов ДФБП-000066 от 02.02.2025 23:59:59</t>
  </si>
  <si>
    <t>Поступление доп. расходов ДФБП-000067 от 02.02.2025 23:59:59</t>
  </si>
  <si>
    <t>Поступление доп. расходов ДФБП-000142 от 02.02.2025 23:59:59</t>
  </si>
  <si>
    <t>Поступление доп. расходов ДФБП-000058 от 03.02.2025 23:59:59</t>
  </si>
  <si>
    <t>Поступление доп. расходов ДФБП-000059 от 03.02.2025 23:59:59</t>
  </si>
  <si>
    <t>Поступление доп. расходов ДФБП-000056 от 04.02.2025 23:59:59</t>
  </si>
  <si>
    <t>Поступление доп. расходов ДФБП-000057 от 04.02.2025 23:59:59</t>
  </si>
  <si>
    <t>Поступление доп. расходов ДФБП-000068 от 04.02.2025 23:59:59</t>
  </si>
  <si>
    <t>Поступление доп. расходов ДФБП-000069 от 04.02.2025 23:59:59</t>
  </si>
  <si>
    <t>Поступление доп. расходов ДФБП-000070 от 04.02.2025 23:59:59</t>
  </si>
  <si>
    <t>Поступление доп. расходов ДФБП-000071 от 04.02.2025 23:59:59</t>
  </si>
  <si>
    <t>Поступление доп. расходов ДФБП-000072 от 04.02.2025 23:59:59</t>
  </si>
  <si>
    <t>Поступление доп. расходов ДФБП-000073 от 04.02.2025 23:59:59</t>
  </si>
  <si>
    <t>Поступление доп. расходов ДФБП-000143 от 04.02.2025 23:59:59</t>
  </si>
  <si>
    <t>Поступление доп. расходов ДФБП-000052 от 05.02.2025 23:59:59</t>
  </si>
  <si>
    <t>Поступление доп. расходов ДФБП-000053 от 05.02.2025 23:59:59</t>
  </si>
  <si>
    <t>Поступление доп. расходов ДФБП-000054 от 05.02.2025 23:59:59</t>
  </si>
  <si>
    <t>Поступление доп. расходов ДФБП-000055 от 05.02.2025 23:59:59</t>
  </si>
  <si>
    <t>Поступление доп. расходов ДФБП-000074 от 05.02.2025 23:59:59</t>
  </si>
  <si>
    <t>Поступление доп. расходов ДФБП-000075 от 05.02.2025 23:59:59</t>
  </si>
  <si>
    <t>Поступление доп. расходов ДФБП-000079 от 05.02.2025 23:59:59</t>
  </si>
  <si>
    <t>Поступление доп. расходов ДФБП-000050 от 06.02.2025 23:59:59</t>
  </si>
  <si>
    <t>Поступление доп. расходов ДФБП-000051 от 06.02.2025 23:59:59</t>
  </si>
  <si>
    <t>Поступление доп. расходов ДФБП-000076 от 06.02.2025 23:59:59</t>
  </si>
  <si>
    <t>Поступление доп. расходов ДФБП-000077 от 06.02.2025 23:59:59</t>
  </si>
  <si>
    <t>Поступление доп. расходов ДФБП-000078 от 06.02.2025 23:59:59</t>
  </si>
  <si>
    <t>Поступление доп. расходов ДФБП-000080 от 06.02.2025 23:59:59</t>
  </si>
  <si>
    <t>Поступление доп. расходов ДФБП-000081 от 06.02.2025 23:59:59</t>
  </si>
  <si>
    <t>Поступление доп. расходов ДФБП-000082 от 06.02.2025 23:59:59</t>
  </si>
  <si>
    <t>Поступление доп. расходов ДФБП-000083 от 06.02.2025 23:59:59</t>
  </si>
  <si>
    <t>Поступление доп. расходов ДФБП-000048 от 07.02.2025 23:59:59</t>
  </si>
  <si>
    <t>Поступление доп. расходов ДФБП-000049 от 07.02.2025 23:59:59</t>
  </si>
  <si>
    <t>Поступление доп. расходов ДФБП-000084 от 07.02.2025 23:59:59</t>
  </si>
  <si>
    <t>Поступление доп. расходов ДФБП-000085 от 07.02.2025 23:59:59</t>
  </si>
  <si>
    <t>Поступление доп. расходов ДФБП-000121 от 18.02.2025 18:27:29</t>
  </si>
  <si>
    <t>Поступление доп. расходов ДФБП-000030 от 18.02.2025 23:59:59</t>
  </si>
  <si>
    <t>Поступление доп. расходов ДФБП-000031 от 18.02.2025 23:59:59</t>
  </si>
  <si>
    <t>Поступление доп. расходов ДФБП-000032 от 18.02.2025 23:59:59</t>
  </si>
  <si>
    <t>Поступление доп. расходов ДФБП-000033 от 18.02.2025 23:59:59</t>
  </si>
  <si>
    <t>Поступление доп. расходов ДФБП-000034 от 18.02.2025 23:59:59</t>
  </si>
  <si>
    <t>Поступление доп. расходов ДФБП-000035 от 18.02.2025 23:59:59</t>
  </si>
  <si>
    <t>Поступление доп. расходов ДФБП-000036 от 18.02.2025 23:59:59</t>
  </si>
  <si>
    <t>Поступление доп. расходов ДФБП-000037 от 18.02.2025 23:59:59</t>
  </si>
  <si>
    <t>Поступление доп. расходов ДФБП-000038 от 18.02.2025 23:59:59</t>
  </si>
  <si>
    <t>Поступление доп. расходов ДФБП-000039 от 18.02.2025 23:59:59</t>
  </si>
  <si>
    <t>Поступление доп. расходов ДФБП-000040 от 18.02.2025 23:59:59</t>
  </si>
  <si>
    <t>Поступление доп. расходов ДФБП-000041 от 18.02.2025 23:59:59</t>
  </si>
  <si>
    <t>Поступление доп. расходов ДФБП-000042 от 18.02.2025 23:59:59</t>
  </si>
  <si>
    <t>Поступление доп. расходов ДФБП-000043 от 18.02.2025 23:59:59</t>
  </si>
  <si>
    <t>Поступление доп. расходов ДФБП-000044 от 18.02.2025 23:59:59</t>
  </si>
  <si>
    <t>Поступление доп. расходов ДФБП-000045 от 18.02.2025 23:59:59</t>
  </si>
  <si>
    <t>Поступление доп. расходов ДФБП-000046 от 18.02.2025 23:59:59</t>
  </si>
  <si>
    <t>Поступление доп. расходов ДФБП-000047 от 18.02.2025 23:59:59</t>
  </si>
  <si>
    <t>Поступление доп. расходов ДФБП-000144 от 18.02.2025 23:59:59</t>
  </si>
  <si>
    <t>Поступление доп. расходов ДФБП-000022 от 20.02.2025 23:59:59</t>
  </si>
  <si>
    <t>Поступление доп. расходов ДФБП-000023 от 20.02.2025 23:59:59</t>
  </si>
  <si>
    <t>Поступление доп. расходов ДФБП-000024 от 20.02.2025 23:59:59</t>
  </si>
  <si>
    <t>Поступление доп. расходов ДФБП-000025 от 20.02.2025 23:59:59</t>
  </si>
  <si>
    <t>Поступление доп. расходов ДФБП-000026 от 20.02.2025 23:59:59</t>
  </si>
  <si>
    <t>Поступление доп. расходов ДФБП-000027 от 20.02.2025 23:59:59</t>
  </si>
  <si>
    <t>Поступление доп. расходов ДФБП-000028 от 20.02.2025 23:59:59</t>
  </si>
  <si>
    <t>Поступление доп. расходов ДФБП-000029 от 20.02.2025 23:59:59</t>
  </si>
  <si>
    <t>Поступление доп. расходов ДФБП-000145 от 20.02.2025 23:59:59</t>
  </si>
  <si>
    <t>Поступление доп. расходов ДФБП-000146 от 20.02.2025 23:59:59</t>
  </si>
  <si>
    <t>Поступление доп. расходов ДФБП-000147 от 20.02.2025 23:59:59</t>
  </si>
  <si>
    <t>Поступление доп. расходов ДФБП-000148 от 20.02.2025 23:59:59</t>
  </si>
  <si>
    <t>Поступление доп. расходов ДФБП-000149 от 20.02.2025 23:59:59</t>
  </si>
  <si>
    <t>Поступление доп. расходов ДФБП-000150 от 20.02.2025 23:59:59</t>
  </si>
  <si>
    <t>Поступление доп. расходов ДФБП-000151 от 20.02.2025 23:59:59</t>
  </si>
  <si>
    <t>Поступление доп. расходов ДФБП-000152 от 20.02.2025 23:59:59</t>
  </si>
  <si>
    <t>Поступление доп. расходов ДФБП-000153 от 20.02.2025 23:59:59</t>
  </si>
  <si>
    <t>Поступление доп. расходов ДФБП-000154 от 20.02.2025 23:59:59</t>
  </si>
  <si>
    <t>Поступление доп. расходов ДФБП-000019 от 21.02.2025 23:59:59</t>
  </si>
  <si>
    <t>Поступление доп. расходов ДФБП-000020 от 21.02.2025 23:59:59</t>
  </si>
  <si>
    <t>Поступление доп. расходов ДФБП-000021 от 21.02.2025 23:59:59</t>
  </si>
  <si>
    <t>Поступление доп. расходов ДФБП-000155 от 21.02.2025 23:59:59</t>
  </si>
  <si>
    <t>Поступление доп. расходов ДФБП-000156 от 21.02.2025 23:59:59</t>
  </si>
  <si>
    <t>Поступление доп. расходов ДФБП-000157 от 21.02.2025 23:59:59</t>
  </si>
  <si>
    <t>Поступление доп. расходов ДФБП-000015 от 24.02.2025 23:59:59</t>
  </si>
  <si>
    <t>Поступление доп. расходов ДФБП-000016 от 24.02.2025 23:59:59</t>
  </si>
  <si>
    <t>Поступление доп. расходов ДФБП-000017 от 24.02.2025 23:59:59</t>
  </si>
  <si>
    <t>Поступление доп. расходов ДФБП-000018 от 24.02.2025 23:59:59</t>
  </si>
  <si>
    <t>Поступление доп. расходов ДФБП-000158 от 24.02.2025 23:59:59</t>
  </si>
  <si>
    <t>Поступление доп. расходов ДФБП-000159 от 24.02.2025 23:59:59</t>
  </si>
  <si>
    <t>Поступление доп. расходов ДФБП-000160 от 24.02.2025 23:59:59</t>
  </si>
  <si>
    <t>Поступление доп. расходов ДФБП-000161 от 24.02.2025 23:59:59</t>
  </si>
  <si>
    <t>Поступление доп. расходов ДФБП-000162 от 24.02.2025 23:59:59</t>
  </si>
  <si>
    <t>Поступление доп. расходов ДФБП-000011 от 25.02.2025 23:59:59</t>
  </si>
  <si>
    <t>Поступление доп. расходов ДФБП-000012 от 25.02.2025 23:59:59</t>
  </si>
  <si>
    <t>Поступление доп. расходов ДФБП-000013 от 25.02.2025 23:59:59</t>
  </si>
  <si>
    <t>Поступление доп. расходов ДФБП-000014 от 25.02.2025 23:59:59</t>
  </si>
  <si>
    <t>Поступление доп. расходов ДФБП-000163 от 25.02.2025 23:59:59</t>
  </si>
  <si>
    <t>Поступление доп. расходов ДФБП-000164 от 25.02.2025 23:59:59</t>
  </si>
  <si>
    <t>Поступление доп. расходов ДФБП-000165 от 25.02.2025 23:59:59</t>
  </si>
  <si>
    <t>Поступление доп. расходов ДФБП-000166 от 25.02.2025 23:59:59</t>
  </si>
  <si>
    <t>Поступление доп. расходов ДФБП-000169 от 25.02.2025 23:59:59</t>
  </si>
  <si>
    <t>Поступление доп. расходов ДФБП-000008 от 26.02.2025 23:59:59</t>
  </si>
  <si>
    <t>Поступление доп. расходов ДФБП-000009 от 26.02.2025 23:59:59</t>
  </si>
  <si>
    <t>Поступление доп. расходов ДФБП-000010 от 26.02.2025 23:59:59</t>
  </si>
  <si>
    <t>Поступление доп. расходов ДФБП-000006 от 27.02.2025 23:59:58</t>
  </si>
  <si>
    <t>Поступление доп. расходов ДФБП-000007 от 27.02.2025 23:59:58</t>
  </si>
  <si>
    <t>Поступление доп. расходов ДФБП-000003 от 27.02.2025 23:59:59</t>
  </si>
  <si>
    <t>Поступление доп. расходов ДФБП-000004 от 27.02.2025 23:59:59</t>
  </si>
  <si>
    <t>Поступление доп. расходов ДФБП-000005 от 27.02.2025 23:59:59</t>
  </si>
  <si>
    <t>Поступление доп. расходов ДФБП-000167 от 27.02.2025 23:59:59</t>
  </si>
  <si>
    <t>Поступление доп. расходов ДФБП-000168 от 27.02.2025 23:59:59</t>
  </si>
  <si>
    <t>Поступление доп. расходов ДФДФ-000322 от 27.02.2025 23:59:59</t>
  </si>
  <si>
    <t>Поступление доп. расходов ДФБП-000001 от 28.02.2025 23:59:59</t>
  </si>
  <si>
    <t>Поступление доп. расходов ДФБП-000002 от 28.02.2025 23:59:59</t>
  </si>
  <si>
    <t>Поступление доп. расходов ДФДФ-000204 от 04.03.2025 23:59:59</t>
  </si>
  <si>
    <t>Поступление доп. расходов ДФДФ-000254 от 04.03.2025 23:59:59</t>
  </si>
  <si>
    <t>Поступление доп. расходов ДФДФ-000255 от 04.03.2025 23:59:59</t>
  </si>
  <si>
    <t>Поступление доп. расходов ДФДФ-000256 от 04.03.2025 23:59:59</t>
  </si>
  <si>
    <t>Поступление доп. расходов ДФДФ-000257 от 05.03.2025 23:59:59</t>
  </si>
  <si>
    <t>Поступление доп. расходов ДФДФ-000258 от 05.03.2025 23:59:59</t>
  </si>
  <si>
    <t>Поступление доп. расходов ДФДФ-000259 от 05.03.2025 23:59:59</t>
  </si>
  <si>
    <t>Поступление доп. расходов ДФДФ-000260 от 05.03.2025 23:59:59</t>
  </si>
  <si>
    <t>Поступление доп. расходов ДФДФ-000261 от 05.03.2025 23:59:59</t>
  </si>
  <si>
    <t>Поступление доп. расходов ДФДФ-000262 от 07.03.2025 23:59:59</t>
  </si>
  <si>
    <t>Поступление доп. расходов ДФДФ-000263 от 07.03.2025 23:59:59</t>
  </si>
  <si>
    <t>Поступление доп. расходов ДФДФ-000264 от 07.03.2025 23:59:59</t>
  </si>
  <si>
    <t>Поступление доп. расходов ДФДФ-000265 от 07.03.2025 23:59:59</t>
  </si>
  <si>
    <t>Поступление доп. расходов ДФДФ-000266 от 07.03.2025 23:59:59</t>
  </si>
  <si>
    <t>Поступление доп. расходов ДФДФ-000267 от 07.03.2025 23:59:59</t>
  </si>
  <si>
    <t>Поступление доп. расходов ДФДФ-000268 от 07.03.2025 23:59:59</t>
  </si>
  <si>
    <t>Поступление доп. расходов ДФДФ-000269 от 07.03.2025 23:59:59</t>
  </si>
  <si>
    <t>Поступление доп. расходов ДФДФ-000270 от 07.03.2025 23:59:59</t>
  </si>
  <si>
    <t>Поступление доп. расходов ДФДФ-000271 от 07.03.2025 23:59:59</t>
  </si>
  <si>
    <t>Поступление доп. расходов ДФДФ-000272 от 07.03.2025 23:59:59</t>
  </si>
  <si>
    <t>Поступление доп. расходов ДФДФ-000273 от 07.03.2025 23:59:59</t>
  </si>
  <si>
    <t>Поступление доп. расходов ДФБП-000170 от 10.03.2025 23:59:59</t>
  </si>
  <si>
    <t>Поступление доп. расходов ДФБП-000171 от 10.03.2025 23:59:59</t>
  </si>
  <si>
    <t>Поступление доп. расходов ДФБП-000172 от 10.03.2025 23:59:59</t>
  </si>
  <si>
    <t>Поступление доп. расходов ДФБП-000179 от 10.03.2025 23:59:59</t>
  </si>
  <si>
    <t>Поступление доп. расходов ДФДФ-000192 от 10.03.2025 23:59:59</t>
  </si>
  <si>
    <t>Поступление доп. расходов ДФДФ-000274 от 10.03.2025 23:59:59</t>
  </si>
  <si>
    <t>Поступление доп. расходов ДФДФ-000275 от 10.03.2025 23:59:59</t>
  </si>
  <si>
    <t>Поступление доп. расходов ДФДФ-000276 от 10.03.2025 23:59:59</t>
  </si>
  <si>
    <t>Поступление доп. расходов ДФДФ-000277 от 10.03.2025 23:59:59</t>
  </si>
  <si>
    <t>Поступление доп. расходов ДФДФ-000278 от 10.03.2025 23:59:59</t>
  </si>
  <si>
    <t>Поступление доп. расходов ДФДФ-000279 от 10.03.2025 23:59:59</t>
  </si>
  <si>
    <t>Поступление доп. расходов ДФДФ-000280 от 10.03.2025 23:59:59</t>
  </si>
  <si>
    <t>Поступление доп. расходов ДФДФ-000281 от 10.03.2025 23:59:59</t>
  </si>
  <si>
    <t>Поступление доп. расходов ДФДФ-000282 от 10.03.2025 23:59:59</t>
  </si>
  <si>
    <t>Поступление доп. расходов ДФДФ-000283 от 10.03.2025 23:59:59</t>
  </si>
  <si>
    <t>Поступление доп. расходов ДФДФ-000284 от 10.03.2025 23:59:59</t>
  </si>
  <si>
    <t>Поступление доп. расходов ДФДФ-000285 от 10.03.2025 23:59:59</t>
  </si>
  <si>
    <t>Поступление доп. расходов ДФДФ-000286 от 10.03.2025 23:59:59</t>
  </si>
  <si>
    <t>Поступление доп. расходов ДФДФ-000287 от 10.03.2025 23:59:59</t>
  </si>
  <si>
    <t>Поступление доп. расходов ДФДФ-000288 от 10.03.2025 23:59:59</t>
  </si>
  <si>
    <t>Поступление доп. расходов ДФДФ-000289 от 10.03.2025 23:59:59</t>
  </si>
  <si>
    <t>Поступление доп. расходов ДФДФ-000290 от 10.03.2025 23:59:59</t>
  </si>
  <si>
    <t>Поступление доп. расходов ДФДФ-000294 от 10.03.2025 23:59:59</t>
  </si>
  <si>
    <t>Поступление доп. расходов ДФДФ-000295 от 10.03.2025 23:59:59</t>
  </si>
  <si>
    <t>Поступление доп. расходов ДФБП-000173 от 11.03.2025 23:59:59</t>
  </si>
  <si>
    <t>Поступление доп. расходов ДФБП-000174 от 11.03.2025 23:59:59</t>
  </si>
  <si>
    <t>Поступление доп. расходов ДФБП-000175 от 11.03.2025 23:59:59</t>
  </si>
  <si>
    <t>Поступление доп. расходов ДФБП-000176 от 11.03.2025 23:59:59</t>
  </si>
  <si>
    <t>Поступление доп. расходов ДФБП-000177 от 11.03.2025 23:59:59</t>
  </si>
  <si>
    <t>Поступление доп. расходов ДФБП-000178 от 11.03.2025 23:59:59</t>
  </si>
  <si>
    <t>Поступление доп. расходов ДФДФ-000291 от 11.03.2025 23:59:59</t>
  </si>
  <si>
    <t>Поступление доп. расходов ДФДФ-000292 от 11.03.2025 23:59:59</t>
  </si>
  <si>
    <t>Поступление доп. расходов ДФДФ-000293 от 11.03.2025 23:59:59</t>
  </si>
  <si>
    <t>Поступление доп. расходов ДФДФ-000296 от 11.03.2025 23:59:59</t>
  </si>
  <si>
    <t>Поступление доп. расходов ДФБП-000180 от 12.03.2025 23:59:59</t>
  </si>
  <si>
    <t>Поступление доп. расходов ДФБП-000181 от 12.03.2025 23:59:59</t>
  </si>
  <si>
    <t>Поступление доп. расходов ДФБП-000182 от 12.03.2025 23:59:59</t>
  </si>
  <si>
    <t>Поступление доп. расходов ДФБП-000183 от 13.03.2025 23:59:59</t>
  </si>
  <si>
    <t>Поступление доп. расходов ДФБП-000184 от 13.03.2025 23:59:59</t>
  </si>
  <si>
    <t>Поступление доп. расходов ДФБП-000185 от 13.03.2025 23:59:59</t>
  </si>
  <si>
    <t>Поступление доп. расходов ДФБП-000186 от 13.03.2025 23:59:59</t>
  </si>
  <si>
    <t>Поступление доп. расходов ДФБП-000187 от 13.03.2025 23:59:59</t>
  </si>
  <si>
    <t>Поступление доп. расходов ДФДФ-000193 от 13.03.2025 23:59:59</t>
  </si>
  <si>
    <t>Поступление доп. расходов ДФБП-000138 от 14.03.2025 23:59:59</t>
  </si>
  <si>
    <t>Поступление доп. расходов ДФБП-000141 от 14.03.2025 23:59:59</t>
  </si>
  <si>
    <t>Поступление доп. расходов ДФБП-000188 от 14.03.2025 23:59:59</t>
  </si>
  <si>
    <t>Поступление доп. расходов ДФДФ-000298 от 15.03.2025 23:59:59</t>
  </si>
  <si>
    <t>Поступление доп. расходов ДФБП-000135 от 17.03.2025 23:59:58</t>
  </si>
  <si>
    <t>Поступление доп. расходов ДФБП-000131 от 17.03.2025 23:59:59</t>
  </si>
  <si>
    <t>Поступление доп. расходов ДФБП-000132 от 17.03.2025 23:59:59</t>
  </si>
  <si>
    <t>Поступление доп. расходов ДФБП-000133 от 17.03.2025 23:59:59</t>
  </si>
  <si>
    <t>Поступление доп. расходов ДФБП-000134 от 17.03.2025 23:59:59</t>
  </si>
  <si>
    <t>Поступление доп. расходов ДФБП-000136 от 17.03.2025 23:59:59</t>
  </si>
  <si>
    <t>Поступление доп. расходов ДФБП-000137 от 17.03.2025 23:59:59</t>
  </si>
  <si>
    <t>Поступление доп. расходов ДФБП-000139 от 17.03.2025 23:59:59</t>
  </si>
  <si>
    <t>Поступление доп. расходов ДФБП-000140 от 17.03.2025 23:59:59</t>
  </si>
  <si>
    <t>Поступление доп. расходов ДФДФ-000194 от 17.03.2025 23:59:59</t>
  </si>
  <si>
    <t>Поступление доп. расходов ДФДФ-000214 от 18.03.2025 23:59:59</t>
  </si>
  <si>
    <t>Поступление доп. расходов ДФДФ-000215 от 18.03.2025 23:59:59</t>
  </si>
  <si>
    <t>Поступление доп. расходов ДФДФ-000216 от 18.03.2025 23:59:59</t>
  </si>
  <si>
    <t>Поступление доп. расходов ДФДФ-000205 от 19.03.2025 23:59:59</t>
  </si>
  <si>
    <t>Поступление доп. расходов ДФДФ-000206 от 19.03.2025 23:59:59</t>
  </si>
  <si>
    <t>Поступление доп. расходов ДФДФ-000207 от 19.03.2025 23:59:59</t>
  </si>
  <si>
    <t>Поступление доп. расходов ДФДФ-000208 от 19.03.2025 23:59:59</t>
  </si>
  <si>
    <t>Поступление доп. расходов ДФДФ-000209 от 19.03.2025 23:59:59</t>
  </si>
  <si>
    <t>Поступление доп. расходов ДФДФ-000210 от 19.03.2025 23:59:59</t>
  </si>
  <si>
    <t>Поступление доп. расходов ДФДФ-000211 от 19.03.2025 23:59:59</t>
  </si>
  <si>
    <t>Поступление доп. расходов ДФДФ-000212 от 19.03.2025 23:59:59</t>
  </si>
  <si>
    <t>Поступление доп. расходов ДФДФ-000213 от 19.03.2025 23:59:59</t>
  </si>
  <si>
    <t>Поступление доп. расходов ДФДФ-000300 от 19.03.2025 23:59:59</t>
  </si>
  <si>
    <t>Поступление доп. расходов ДФДФ-000197 от 20.03.2025 23:59:59</t>
  </si>
  <si>
    <t>Поступление доп. расходов ДФДФ-000198 от 20.03.2025 23:59:59</t>
  </si>
  <si>
    <t>Поступление доп. расходов ДФДФ-000201 от 20.03.2025 23:59:59</t>
  </si>
  <si>
    <t>Поступление доп. расходов ДФДФ-000202 от 20.03.2025 23:59:59</t>
  </si>
  <si>
    <t>Поступление доп. расходов ДФДФ-000203 от 20.03.2025 23:59:59</t>
  </si>
  <si>
    <t>Поступление доп. расходов ДФДФ-000196 от 21.03.2025 23:59:59</t>
  </si>
  <si>
    <t>Поступление доп. расходов ДФДФ-000199 от 21.03.2025 23:59:59</t>
  </si>
  <si>
    <t>Поступление доп. расходов ДФДФ-000200 от 21.03.2025 23:59:59</t>
  </si>
  <si>
    <t>Поступление доп. расходов ДФДФ-000246 от 21.03.2025 23:59:59</t>
  </si>
  <si>
    <t>Поступление доп. расходов ДФДФ-000247 от 21.03.2025 23:59:59</t>
  </si>
  <si>
    <t>Поступление доп. расходов ДФДФ-000248 от 21.03.2025 23:59:59</t>
  </si>
  <si>
    <t>Поступление доп. расходов ДФДФ-000301 от 21.03.2025 23:59:59</t>
  </si>
  <si>
    <t>Поступление доп. расходов ДФДФ-000195 от 22.03.2025 23:59:59</t>
  </si>
  <si>
    <t>Поступление доп. расходов ДФДФ-000243 от 22.03.2025 23:59:59</t>
  </si>
  <si>
    <t>Поступление доп. расходов ДФДФ-000244 от 22.03.2025 23:59:59</t>
  </si>
  <si>
    <t>Поступление доп. расходов ДФДФ-000245 от 22.03.2025 23:59:59</t>
  </si>
  <si>
    <t>Поступление доп. расходов ДФДФ-000303 от 23.03.2025 23:59:58</t>
  </si>
  <si>
    <t>Поступление доп. расходов ДФДФ-000239 от 23.03.2025 23:59:59</t>
  </si>
  <si>
    <t>Поступление доп. расходов ДФДФ-000240 от 23.03.2025 23:59:59</t>
  </si>
  <si>
    <t>Поступление доп. расходов ДФДФ-000241 от 23.03.2025 23:59:59</t>
  </si>
  <si>
    <t>Поступление доп. расходов ДФДФ-000242 от 23.03.2025 23:59:59</t>
  </si>
  <si>
    <t>Поступление доп. расходов ДФДФ-000302 от 23.03.2025 23:59:59</t>
  </si>
  <si>
    <t>Поступление доп. расходов ДФДФ-000304 от 23.03.2025 23:59:59</t>
  </si>
  <si>
    <t>Поступление доп. расходов ДФДФ-000231 от 24.03.2025 23:59:59</t>
  </si>
  <si>
    <t>Поступление доп. расходов ДФДФ-000232 от 24.03.2025 23:59:59</t>
  </si>
  <si>
    <t>Поступление доп. расходов ДФДФ-000233 от 24.03.2025 23:59:59</t>
  </si>
  <si>
    <t>Поступление доп. расходов ДФДФ-000234 от 24.03.2025 23:59:59</t>
  </si>
  <si>
    <t>Поступление доп. расходов ДФДФ-000235 от 24.03.2025 23:59:59</t>
  </si>
  <si>
    <t>Поступление доп. расходов ДФДФ-000236 от 24.03.2025 23:59:59</t>
  </si>
  <si>
    <t>Поступление доп. расходов ДФДФ-000237 от 24.03.2025 23:59:59</t>
  </si>
  <si>
    <t>Поступление доп. расходов ДФДФ-000238 от 24.03.2025 23:59:59</t>
  </si>
  <si>
    <t>Поступление доп. расходов ДФДФ-000305 от 24.03.2025 23:59:59</t>
  </si>
  <si>
    <t>Поступление доп. расходов ДФДФ-000306 от 24.03.2025 23:59:59</t>
  </si>
  <si>
    <t>Поступление доп. расходов ДФДФ-000307 от 24.03.2025 23:59:59</t>
  </si>
  <si>
    <t>Поступление доп. расходов ДФДФ-000228 от 25.03.2025 23:59:59</t>
  </si>
  <si>
    <t>Поступление доп. расходов ДФДФ-000229 от 25.03.2025 23:59:59</t>
  </si>
  <si>
    <t>Поступление доп. расходов ДФДФ-000230 от 25.03.2025 23:59:59</t>
  </si>
  <si>
    <t>Поступление доп. расходов ДФДФ-000308 от 25.03.2025 23:59:59</t>
  </si>
  <si>
    <t>Поступление доп. расходов ДФДФ-000323 от 25.03.2025 23:59:59</t>
  </si>
  <si>
    <t>Поступление доп. расходов ДФДФ-000218 от 26.03.2025 23:59:59</t>
  </si>
  <si>
    <t>Поступление доп. расходов ДФДФ-000219 от 26.03.2025 23:59:59</t>
  </si>
  <si>
    <t>Поступление доп. расходов ДФДФ-000220 от 26.03.2025 23:59:59</t>
  </si>
  <si>
    <t>Поступление доп. расходов ДФДФ-000221 от 26.03.2025 23:59:59</t>
  </si>
  <si>
    <t>Поступление доп. расходов ДФДФ-000222 от 26.03.2025 23:59:59</t>
  </si>
  <si>
    <t>Поступление доп. расходов ДФДФ-000223 от 26.03.2025 23:59:59</t>
  </si>
  <si>
    <t>Поступление доп. расходов ДФДФ-000224 от 26.03.2025 23:59:59</t>
  </si>
  <si>
    <t>Поступление доп. расходов ДФДФ-000225 от 26.03.2025 23:59:59</t>
  </si>
  <si>
    <t>Поступление доп. расходов ДФДФ-000226 от 26.03.2025 23:59:59</t>
  </si>
  <si>
    <t>Поступление доп. расходов ДФДФ-000227 от 26.03.2025 23:59:59</t>
  </si>
  <si>
    <t>Поступление доп. расходов ДФДФ-000217 от 27.03.2025 17:33:01</t>
  </si>
  <si>
    <t>Поступление доп. расходов ДФДФ-000309 от 27.03.2025 23:59:59</t>
  </si>
  <si>
    <t>Поступление доп. расходов ДФДФ-000310 от 27.03.2025 23:59:59</t>
  </si>
  <si>
    <t>Поступление доп. расходов ДФДФ-000311 от 27.03.2025 23:59:59</t>
  </si>
  <si>
    <t>Поступление доп. расходов ДФДФ-000312 от 27.03.2025 23:59:59</t>
  </si>
  <si>
    <t>Поступление доп. расходов ДФДФ-000313 от 29.03.2025 23:59:59</t>
  </si>
  <si>
    <t>Поступление доп. расходов ДФДФ-000314 от 30.03.2025 23:52:59</t>
  </si>
  <si>
    <t>Поступление доп. расходов ДФДФ-000297 от 31.03.2025 23:59:59</t>
  </si>
  <si>
    <t>Поступление доп. расходов ДФДФ-000299 от 31.03.2025 23:59:59</t>
  </si>
  <si>
    <t>Поступление доп. расходов ДФДФ-000315 от 31.03.2025 23:59:59</t>
  </si>
  <si>
    <t>Поступление доп. расходов ДФДФ-000316 от 31.03.2025 23:59:59</t>
  </si>
  <si>
    <t>Поступление доп. расходов ДФДФ-000319 от 31.03.2025 23:59:59</t>
  </si>
  <si>
    <t>ЗУАЦ ЗАО</t>
  </si>
  <si>
    <t>Поступление (акт, накладная, УПД) ДФДФ-000447 от 28.03.2025 12:00:05</t>
  </si>
  <si>
    <t>Поступление (акт, накладная, УПД) ДФБП-000008 от 28.02.2025 12:00:00</t>
  </si>
  <si>
    <t>Поступление (акт, накладная, УПД) ДФБП-000009 от 31.03.2025 12:00:00</t>
  </si>
  <si>
    <t>Поступление доп. расходов ДФБП-000190 от 19.03.2025 23:59:59</t>
  </si>
  <si>
    <t>Поступление доп. расходов ДФДФ-000191 от 31.03.2025 23:59:59</t>
  </si>
  <si>
    <t>Поступление доп. расходов ДФДФ-000253 от 16.01.2025 23:59:59</t>
  </si>
  <si>
    <t>Поступление доп. расходов ДФБП-000189 от 12.03.2025 23:59:59</t>
  </si>
  <si>
    <t>ПромСпецТех ООО</t>
  </si>
  <si>
    <t>Поступление (акт, накладная, УПД) ДФБП-000283 от 28.02.2025 23:59:59</t>
  </si>
  <si>
    <t>Поступление (акт, накладная, УПД) ДФБП-000284 от 28.02.2025 23:59:59</t>
  </si>
  <si>
    <t>Поступление (акт, накладная, УПД) ДФБП-000285 от 14.03.2025 23:59:59</t>
  </si>
  <si>
    <t>Поступление доп. расходов ДФДФ-000250 от 03.02.2025 23:59:59</t>
  </si>
  <si>
    <t>Поступление доп. расходов ДФДФ-000249 от 10.02.2025 23:59:59</t>
  </si>
  <si>
    <t>Поступление (акт, накладная, УПД) ДФБП-000183 от 31.01.2025 23:59:59</t>
  </si>
  <si>
    <t>Поступление (акт, накладная, УПД) ДФБП-000282 от 28.02.2025 23:59:59</t>
  </si>
  <si>
    <t>Поступление (акт, накладная, УПД) ДФБП-000158 от 29.01.2025 15:34:57</t>
  </si>
  <si>
    <t>Поступление (акт, накладная, УПД) ДФБП-000162 от 13.03.2025 12:00:00</t>
  </si>
  <si>
    <t>ТЕХСНАБ СЕРВИС ОБЩЕСТВО С ОГРАНИЧЕННОЙ ОТВЕТСТВЕННОСТЬЮ</t>
  </si>
  <si>
    <t>Поступление (акт, накладная, УПД) ДФБП-000071 от 10.02.2025 10:26:11</t>
  </si>
  <si>
    <t>Поступление (акт, накладная, УПД) ДФБП-000259 от 19.03.2025 23:59:59</t>
  </si>
  <si>
    <t>ТУЛГИДРОСПЕЦСТРОЙ ООО</t>
  </si>
  <si>
    <t>Поступление (акт, накладная, УПД) ДФБП-000104 от 04.02.2025 9:24:35</t>
  </si>
  <si>
    <t>Поступление (акт, накладная, УПД) ДФБП-000348 от 04.03.2025 14:56:59</t>
  </si>
  <si>
    <t>Поступление (акт, накладная, УПД) ДФДФ-000538 от 31.01.2025 23:59:59</t>
  </si>
  <si>
    <t>ЭЛКМЭН ЯРОСЛАВЛЬ ООО</t>
  </si>
  <si>
    <t>Поступление (акт, накладная, УПД) ДФБП-000267 от 28.02.2025 23:59:59</t>
  </si>
  <si>
    <t>Поступление (акт, накладная, УПД) ДФДФ-000439 от 31.03.2025 23:59:59</t>
  </si>
  <si>
    <t>Поступление (акт, накладная, УПД) ДФБП-000097 от 10.01.2025 0:00:17</t>
  </si>
  <si>
    <t>Поступление (акт, накладная, УПД) ДФБП-000098 от 31.01.2025 15:43:32</t>
  </si>
  <si>
    <t>Поступление (акт, накладная, УПД) ДФБП-000100 от 06.02.2025 14:36:41</t>
  </si>
  <si>
    <t>Поступление (акт, накладная, УПД) ДФБП-000137 от 28.02.2025 12:00:03</t>
  </si>
  <si>
    <t>Поступление (акт, накладная, УПД) ДФДФ-000432 от 31.03.2025 23:59:59</t>
  </si>
  <si>
    <t>日期</t>
  </si>
  <si>
    <t>摘要</t>
  </si>
  <si>
    <t>本金</t>
  </si>
  <si>
    <t>利率</t>
  </si>
  <si>
    <t>天数</t>
  </si>
  <si>
    <t>16.06.2025</t>
  </si>
  <si>
    <t>Уплата процентов по депозиту с 12.06.2025 по 16.06.2025 по Ген.согл N ГСД25-080-004-31 от 10.06.2025(заяв. 4 от 11.06.2025). Удержан налог согласно НК РФ 2993.15 (RUB). НДС не облагается.</t>
  </si>
  <si>
    <t>Уплата процентов по депозиту с 12.06.2025 по 16.06.2025 по Ген.согл N ГСД25-080-004-31 от 10.06.2025(заяв. 1 от 11.06.2025). Удержан налог согласно НК РФ 32534.25 (RUB). НДС не облагается.</t>
  </si>
  <si>
    <t>17.06.2025</t>
  </si>
  <si>
    <t>Уплата процентов по депозиту с 17.06.2025 по 17.06.2025 по Ген.согл N ГСД25-080-004-31 от 10.06.2025(заяв. 5 от 16.06.2025). Удержан налог согласно НК РФ 6350.69 (RUB). НДС не облагается.</t>
  </si>
  <si>
    <t>19.06.2025</t>
  </si>
  <si>
    <t>Уплата процентов по депозиту с 19.06.2025 по 19.06.2025 по Ген.согл N ГСД25-080-004-31 от 10.06.2025(заяв. 7 от 18.06.2025). . НДС не облагается.</t>
  </si>
  <si>
    <t>23.06.2025</t>
  </si>
  <si>
    <t>Уплата процентов по депозиту с 21.06.2025 по 23.06.2025 по Ген.согл N ГСД25-080-004-31 от 10.06.2025(заяв. 8 от 20.06.2025). . НДС не облагается.</t>
  </si>
  <si>
    <t>24.06.2025</t>
  </si>
  <si>
    <t>Уплата процентов по депозиту с 24.06.2025 по 24.06.2025 по Ген.согл N ГСД25-080-004-31 от 10.06.2025(заяв. 10 от 23.06.2025). . НДС не облагается.</t>
  </si>
  <si>
    <t>26.06.2025</t>
  </si>
  <si>
    <t>Уплата процентов по депозиту с 26.06.2025 по 26.06.2025 по Ген.согл N ГСД25-080-004-31 от 10.06.2025(заяв. 13 от 25.06.2025). . НДС не облагается.</t>
  </si>
  <si>
    <t>27.06.2025</t>
  </si>
  <si>
    <t>Уплата процентов по депозиту с 27.06.2025 по 27.06.2025 по Ген.согл N ГСД25-080-004-31 от 10.06.2025(заяв. 14 от 26.06.2025). . НДС не облагается.</t>
  </si>
  <si>
    <t>30.06.2025</t>
  </si>
  <si>
    <t>Уплата процентов по депозиту с 28.06.2025 по 30.06.2025 по Ген.согл N ГСД25-080-004-31 от 10.06.2025(заяв. 15 от 27.06.2025). . НДС не облагается.</t>
  </si>
  <si>
    <t>02.07.2025</t>
  </si>
  <si>
    <t>Уплата процентов по депозиту с 02.07.2025 по 02.07.2025 по Ген.согл N ГСД25-080-004-31 от 10.06.2025(заяв. 18 от 01.07.2025). . НДС не облагается.</t>
  </si>
  <si>
    <t>03.07.2025</t>
  </si>
  <si>
    <t>Уплата процентов по депозиту с 03.07.2025 по 03.07.2025 по Ген.согл N ГСД25-080-004-31 от 10.06.2025(заяв. 20 от 02.07.2025). . НДС не облагается.</t>
  </si>
  <si>
    <t>08.07.2025</t>
  </si>
  <si>
    <t>Уплата процентов по депозиту с 08.07.2025 по 08.07.2025 по Ген.согл N ГСД25-080-004-31 от 10.06.2025(заяв. 24 от 07.07.2025). . НДС не облагается.</t>
  </si>
  <si>
    <t>14.07.2025</t>
  </si>
  <si>
    <t>Уплата процентов по депозиту с 12.07.2025 по 14.07.2025 по Ген.согл N ГСД25-080-004-31 от 10.06.2025(заяв. 25 от 11.07.2025). . НДС не облагается.</t>
  </si>
  <si>
    <t>15.07.2025</t>
  </si>
  <si>
    <t>Уплата процентов по депозиту с 15.07.2025 по 15.07.2025 по Ген.согл N ГСД25-080-004-31 от 10.06.2025(заяв. 26 от 14.07.2025). . НДС не облагается.</t>
  </si>
  <si>
    <t>16.07.2025</t>
  </si>
  <si>
    <t>Уплата процентов по депозиту с 16.07.2025 по 16.07.2025 по Ген.согл N ГСД25-080-004-31 от 10.06.2025(заяв. 27 от 15.07.2025). . НДС не облагается.</t>
  </si>
  <si>
    <t>17.07.2025</t>
  </si>
  <si>
    <t>Уплата процентов по депозиту с 17.07.2025 по 17.07.2025 по Ген.согл N ГСД25-080-004-31 от 10.06.2025(заяв. 28 от 16.07.2025). . НДС не облагается.</t>
  </si>
  <si>
    <t>18.07.2025</t>
  </si>
  <si>
    <t>Уплата процентов по депозиту с 18.07.2025 по 18.07.2025 по Ген.согл N ГСД25-080-004-31 от 10.06.2025(заяв. 29 от 17.07.2025). . НДС не облагается.</t>
  </si>
  <si>
    <t>21.07.2025</t>
  </si>
  <si>
    <t>Уплата процентов по депозиту с 19.07.2025 по 21.07.2025 по Ген.согл N ГСД25-080-004-31 от 10.06.2025(заяв. 30 от 18.07.2025). . НДС не облагается.</t>
  </si>
  <si>
    <t>22.07.2025</t>
  </si>
  <si>
    <t>Уплата процентов по депозиту с 22.07.2025 по 22.07.2025 по Ген.согл N ГСД25-080-004-31 от 10.06.2025(заяв. 31 от 21.07.2025). . НДС не облагается.</t>
  </si>
  <si>
    <t>23.07.2025</t>
  </si>
  <si>
    <t>Уплата процентов по депозиту с 23.07.2025 по 23.07.2025 по Ген.согл N ГСД25-080-004-31 от 10.06.2025(заяв. 32 от 22.07.2025). . НДС не облагается.</t>
  </si>
  <si>
    <t>24.07.2025</t>
  </si>
  <si>
    <t>Уплата процентов по депозиту с 24.07.2025 по 24.07.2025 по Ген.согл N ГСД25-080-004-31 от 10.06.2025(заяв. 33 от 23.07.2025). . НДС не облагается.</t>
  </si>
  <si>
    <t>25.07.2025</t>
  </si>
  <si>
    <t>Уплата процентов по депозиту с 25.07.2025 по 25.07.2025 по Ген.согл N ГСД25-080-004-31 от 10.06.2025(заяв. 34 от 24.07.2025). . НДС не облагается.</t>
  </si>
  <si>
    <t>28.07.2025</t>
  </si>
  <si>
    <t>Уплата процентов по депозиту с 26.07.2025 по 28.07.2025 по Ген.согл N ГСД25-080-004-31 от 10.06.2025(заяв. 35 от 25.07.2025). . НДС не облагается.</t>
  </si>
  <si>
    <t>金额</t>
  </si>
  <si>
    <t>06.06.2025</t>
  </si>
  <si>
    <t>25.06.2025</t>
  </si>
  <si>
    <t>04.07.2025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</si>
</sst>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_ "/>
    <numFmt numFmtId="178" formatCode="yyyy/m/d;@"/>
  </numFmts>
  <fonts count="64">
    <font>
      <sz val="11"/>
      <color theme="1"/>
      <name val="宋体"/>
      <charset val="134"/>
      <scheme val="minor"/>
    </font>
    <font>
      <sz val="8"/>
      <name val="Arial"/>
      <charset val="134"/>
    </font>
    <font>
      <b/>
      <sz val="9"/>
      <name val="Arial"/>
      <charset val="0"/>
    </font>
    <font>
      <b/>
      <sz val="12"/>
      <name val="Arial"/>
      <charset val="0"/>
    </font>
    <font>
      <sz val="8"/>
      <name val="Arial"/>
      <charset val="0"/>
    </font>
    <font>
      <sz val="10"/>
      <color rgb="FF003F2F"/>
      <name val="Arial"/>
      <charset val="0"/>
    </font>
    <font>
      <sz val="9"/>
      <color rgb="FF003F2F"/>
      <name val="Arial"/>
      <charset val="0"/>
    </font>
    <font>
      <sz val="9"/>
      <name val="Arial"/>
      <charset val="0"/>
    </font>
    <font>
      <b/>
      <sz val="10"/>
      <color rgb="FF003F2F"/>
      <name val="Arial"/>
      <charset val="0"/>
    </font>
    <font>
      <sz val="11"/>
      <color theme="1"/>
      <name val="Times New Roman Regular"/>
      <charset val="134"/>
    </font>
    <font>
      <b/>
      <sz val="14"/>
      <color theme="1"/>
      <name val="微软雅黑"/>
      <charset val="134"/>
    </font>
    <font>
      <sz val="11"/>
      <color theme="1"/>
      <name val="宋体-简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rgb="FFFF0000"/>
      <name val="Times New Roman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b/>
      <sz val="12"/>
      <color theme="1"/>
      <name val="微软雅黑"/>
      <charset val="134"/>
    </font>
    <font>
      <b/>
      <sz val="14"/>
      <name val="微软雅黑"/>
      <charset val="134"/>
    </font>
    <font>
      <sz val="14"/>
      <color theme="1"/>
      <name val="宋体-简"/>
      <charset val="134"/>
    </font>
    <font>
      <sz val="14"/>
      <name val="Times New Roman"/>
      <charset val="134"/>
    </font>
    <font>
      <b/>
      <sz val="14"/>
      <color rgb="FFFF0000"/>
      <name val="宋体-简"/>
      <charset val="134"/>
    </font>
    <font>
      <b/>
      <sz val="12"/>
      <color rgb="FFFF0000"/>
      <name val="宋体-简"/>
      <charset val="134"/>
    </font>
    <font>
      <b/>
      <sz val="14"/>
      <name val="Times New Roman"/>
      <charset val="134"/>
    </font>
    <font>
      <sz val="14"/>
      <color theme="1"/>
      <name val="宋体"/>
      <charset val="134"/>
    </font>
    <font>
      <sz val="12"/>
      <color rgb="FFFF0000"/>
      <name val="Times New Roman"/>
      <charset val="134"/>
    </font>
    <font>
      <b/>
      <sz val="16"/>
      <color theme="1"/>
      <name val="宋体"/>
      <charset val="134"/>
    </font>
    <font>
      <b/>
      <sz val="12"/>
      <color rgb="FFFF0000"/>
      <name val="Times New Roman"/>
      <charset val="134"/>
    </font>
    <font>
      <b/>
      <sz val="16"/>
      <color rgb="FFFF0000"/>
      <name val="Times New Roman"/>
      <charset val="134"/>
    </font>
    <font>
      <b/>
      <sz val="16"/>
      <name val="Times New Roman"/>
      <charset val="134"/>
    </font>
    <font>
      <sz val="11"/>
      <name val="宋体-简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-简"/>
      <charset val="0"/>
    </font>
    <font>
      <sz val="11"/>
      <color theme="1"/>
      <name val="宋体"/>
      <charset val="134"/>
    </font>
    <font>
      <sz val="9"/>
      <color rgb="FF003F2F"/>
      <name val="宋体-简"/>
      <charset val="0"/>
    </font>
    <font>
      <sz val="12"/>
      <color theme="1"/>
      <name val="宋体"/>
      <charset val="134"/>
    </font>
    <font>
      <b/>
      <sz val="12"/>
      <name val="宋体-简"/>
      <charset val="0"/>
    </font>
    <font>
      <b/>
      <sz val="16"/>
      <color theme="1"/>
      <name val="Times New Roman"/>
      <charset val="134"/>
    </font>
    <font>
      <sz val="10"/>
      <color rgb="FF003F2F"/>
      <name val="宋体-简"/>
      <charset val="0"/>
    </font>
    <font>
      <sz val="8"/>
      <name val="宋体-简"/>
      <charset val="0"/>
    </font>
    <font>
      <sz val="11"/>
      <color rgb="FFFF0000"/>
      <name val="宋体-简"/>
      <charset val="134"/>
    </font>
    <font>
      <sz val="10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D6E5CB"/>
        <bgColor indexed="64"/>
      </patternFill>
    </fill>
    <fill>
      <patternFill patternType="solid">
        <fgColor rgb="FFE4F0DD"/>
        <bgColor indexed="64"/>
      </patternFill>
    </fill>
    <fill>
      <patternFill patternType="solid">
        <fgColor rgb="FFF0F6EF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1" borderId="27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2" fillId="0" borderId="2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2" borderId="30" applyNumberFormat="0" applyAlignment="0" applyProtection="0">
      <alignment vertical="center"/>
    </xf>
    <xf numFmtId="0" fontId="44" fillId="13" borderId="31" applyNumberFormat="0" applyAlignment="0" applyProtection="0">
      <alignment vertical="center"/>
    </xf>
    <xf numFmtId="0" fontId="45" fillId="13" borderId="30" applyNumberFormat="0" applyAlignment="0" applyProtection="0">
      <alignment vertical="center"/>
    </xf>
    <xf numFmtId="0" fontId="46" fillId="14" borderId="32" applyNumberFormat="0" applyAlignment="0" applyProtection="0">
      <alignment vertical="center"/>
    </xf>
    <xf numFmtId="0" fontId="47" fillId="0" borderId="33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3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3" fontId="0" fillId="0" borderId="1" xfId="0" applyNumberFormat="1" applyBorder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centerContinuous" vertical="top" wrapText="1"/>
    </xf>
    <xf numFmtId="0" fontId="1" fillId="0" borderId="0" xfId="0" applyFont="1" applyFill="1" applyAlignment="1">
      <alignment horizontal="centerContinuous" wrapText="1"/>
    </xf>
    <xf numFmtId="0" fontId="5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left" vertical="top" wrapText="1"/>
    </xf>
    <xf numFmtId="4" fontId="5" fillId="3" borderId="5" xfId="0" applyNumberFormat="1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left" vertical="top" wrapText="1" indent="1"/>
    </xf>
    <xf numFmtId="0" fontId="6" fillId="4" borderId="5" xfId="0" applyFont="1" applyFill="1" applyBorder="1" applyAlignment="1">
      <alignment horizontal="left" vertical="top" wrapText="1" indent="2"/>
    </xf>
    <xf numFmtId="0" fontId="6" fillId="4" borderId="5" xfId="0" applyFont="1" applyFill="1" applyBorder="1" applyAlignment="1">
      <alignment horizontal="right" vertical="top" wrapText="1"/>
    </xf>
    <xf numFmtId="4" fontId="6" fillId="4" borderId="5" xfId="0" applyNumberFormat="1" applyFont="1" applyFill="1" applyBorder="1" applyAlignment="1">
      <alignment horizontal="right" vertical="top" wrapText="1"/>
    </xf>
    <xf numFmtId="0" fontId="7" fillId="0" borderId="5" xfId="0" applyFont="1" applyFill="1" applyBorder="1" applyAlignment="1">
      <alignment horizontal="left" vertical="top" wrapText="1" indent="3"/>
    </xf>
    <xf numFmtId="0" fontId="7" fillId="0" borderId="5" xfId="0" applyFont="1" applyFill="1" applyBorder="1" applyAlignment="1">
      <alignment horizontal="right" vertical="top" wrapText="1"/>
    </xf>
    <xf numFmtId="4" fontId="7" fillId="0" borderId="5" xfId="0" applyNumberFormat="1" applyFont="1" applyFill="1" applyBorder="1" applyAlignment="1">
      <alignment horizontal="right" vertical="top" wrapText="1"/>
    </xf>
    <xf numFmtId="2" fontId="7" fillId="0" borderId="5" xfId="0" applyNumberFormat="1" applyFont="1" applyFill="1" applyBorder="1" applyAlignment="1">
      <alignment horizontal="right" vertical="top" wrapText="1"/>
    </xf>
    <xf numFmtId="2" fontId="6" fillId="4" borderId="5" xfId="0" applyNumberFormat="1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horizontal="left" vertical="top"/>
    </xf>
    <xf numFmtId="4" fontId="8" fillId="2" borderId="2" xfId="0" applyNumberFormat="1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horizontal="right" vertical="top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43" fontId="9" fillId="0" borderId="0" xfId="0" applyNumberFormat="1" applyFont="1" applyFill="1" applyAlignment="1">
      <alignment horizontal="center" vertical="center" wrapText="1"/>
    </xf>
    <xf numFmtId="43" fontId="9" fillId="0" borderId="0" xfId="0" applyNumberFormat="1" applyFont="1" applyFill="1" applyAlignment="1">
      <alignment vertical="center" wrapText="1"/>
    </xf>
    <xf numFmtId="43" fontId="10" fillId="5" borderId="6" xfId="0" applyNumberFormat="1" applyFont="1" applyFill="1" applyBorder="1" applyAlignment="1">
      <alignment horizontal="center" vertical="center" wrapText="1"/>
    </xf>
    <xf numFmtId="0" fontId="11" fillId="0" borderId="6" xfId="0" applyNumberFormat="1" applyFont="1" applyFill="1" applyBorder="1" applyAlignment="1">
      <alignment horizontal="center" vertical="center"/>
    </xf>
    <xf numFmtId="43" fontId="10" fillId="5" borderId="7" xfId="0" applyNumberFormat="1" applyFont="1" applyFill="1" applyBorder="1" applyAlignment="1">
      <alignment horizontal="center" vertical="center" wrapText="1"/>
    </xf>
    <xf numFmtId="43" fontId="11" fillId="0" borderId="6" xfId="0" applyNumberFormat="1" applyFont="1" applyFill="1" applyBorder="1" applyAlignment="1">
      <alignment horizontal="center" vertical="center"/>
    </xf>
    <xf numFmtId="43" fontId="11" fillId="6" borderId="6" xfId="0" applyNumberFormat="1" applyFont="1" applyFill="1" applyBorder="1" applyAlignment="1">
      <alignment horizontal="center" vertical="center"/>
    </xf>
    <xf numFmtId="176" fontId="9" fillId="6" borderId="6" xfId="3" applyNumberFormat="1" applyFont="1" applyFill="1" applyBorder="1" applyAlignment="1">
      <alignment horizontal="center" vertical="center"/>
    </xf>
    <xf numFmtId="43" fontId="9" fillId="6" borderId="6" xfId="0" applyNumberFormat="1" applyFont="1" applyFill="1" applyBorder="1" applyAlignment="1">
      <alignment vertical="center"/>
    </xf>
    <xf numFmtId="43" fontId="9" fillId="7" borderId="6" xfId="3" applyNumberFormat="1" applyFont="1" applyFill="1" applyBorder="1" applyAlignment="1">
      <alignment horizontal="center" vertical="center"/>
    </xf>
    <xf numFmtId="9" fontId="9" fillId="7" borderId="6" xfId="3" applyNumberFormat="1" applyFont="1" applyFill="1" applyBorder="1" applyAlignment="1">
      <alignment horizontal="center" vertical="center"/>
    </xf>
    <xf numFmtId="43" fontId="11" fillId="7" borderId="6" xfId="0" applyNumberFormat="1" applyFont="1" applyFill="1" applyBorder="1" applyAlignment="1">
      <alignment horizontal="center" vertical="center"/>
    </xf>
    <xf numFmtId="43" fontId="9" fillId="8" borderId="6" xfId="3" applyNumberFormat="1" applyFont="1" applyFill="1" applyBorder="1" applyAlignment="1">
      <alignment horizontal="center" vertical="center"/>
    </xf>
    <xf numFmtId="43" fontId="9" fillId="8" borderId="6" xfId="3" applyNumberFormat="1" applyFont="1" applyFill="1" applyBorder="1" applyAlignment="1">
      <alignment horizontal="left" vertical="center" wrapText="1"/>
    </xf>
    <xf numFmtId="43" fontId="9" fillId="8" borderId="6" xfId="3" applyNumberFormat="1" applyFont="1" applyFill="1" applyBorder="1" applyAlignment="1">
      <alignment vertical="center"/>
    </xf>
    <xf numFmtId="9" fontId="9" fillId="8" borderId="6" xfId="3" applyNumberFormat="1" applyFont="1" applyFill="1" applyBorder="1" applyAlignment="1">
      <alignment horizontal="center" vertical="center"/>
    </xf>
    <xf numFmtId="43" fontId="11" fillId="8" borderId="6" xfId="0" applyNumberFormat="1" applyFont="1" applyFill="1" applyBorder="1" applyAlignment="1">
      <alignment horizontal="center" vertical="center"/>
    </xf>
    <xf numFmtId="43" fontId="9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43" fontId="12" fillId="0" borderId="0" xfId="0" applyNumberFormat="1" applyFont="1" applyFill="1" applyAlignment="1">
      <alignment vertical="center" wrapText="1"/>
    </xf>
    <xf numFmtId="43" fontId="12" fillId="0" borderId="0" xfId="0" applyNumberFormat="1" applyFont="1" applyFill="1" applyAlignment="1">
      <alignment horizontal="center" vertical="center" wrapText="1"/>
    </xf>
    <xf numFmtId="43" fontId="12" fillId="0" borderId="0" xfId="0" applyNumberFormat="1" applyFont="1" applyFill="1" applyAlignment="1">
      <alignment horizontal="center" vertical="center"/>
    </xf>
    <xf numFmtId="43" fontId="12" fillId="0" borderId="0" xfId="0" applyNumberFormat="1" applyFont="1" applyFill="1" applyAlignment="1">
      <alignment vertical="center"/>
    </xf>
    <xf numFmtId="43" fontId="14" fillId="5" borderId="6" xfId="0" applyNumberFormat="1" applyFont="1" applyFill="1" applyBorder="1" applyAlignment="1">
      <alignment horizontal="center" vertical="center" wrapText="1"/>
    </xf>
    <xf numFmtId="43" fontId="12" fillId="6" borderId="6" xfId="0" applyNumberFormat="1" applyFont="1" applyFill="1" applyBorder="1" applyAlignment="1">
      <alignment vertical="center"/>
    </xf>
    <xf numFmtId="43" fontId="12" fillId="6" borderId="6" xfId="0" applyNumberFormat="1" applyFont="1" applyFill="1" applyBorder="1" applyAlignment="1">
      <alignment horizontal="center" vertical="center"/>
    </xf>
    <xf numFmtId="43" fontId="12" fillId="0" borderId="6" xfId="0" applyNumberFormat="1" applyFont="1" applyFill="1" applyBorder="1" applyAlignment="1">
      <alignment vertical="center"/>
    </xf>
    <xf numFmtId="43" fontId="12" fillId="0" borderId="6" xfId="0" applyNumberFormat="1" applyFont="1" applyFill="1" applyBorder="1" applyAlignment="1">
      <alignment horizontal="center" vertical="center"/>
    </xf>
    <xf numFmtId="176" fontId="12" fillId="6" borderId="6" xfId="3" applyNumberFormat="1" applyFont="1" applyFill="1" applyBorder="1" applyAlignment="1">
      <alignment horizontal="center" vertical="center"/>
    </xf>
    <xf numFmtId="43" fontId="12" fillId="6" borderId="8" xfId="0" applyNumberFormat="1" applyFont="1" applyFill="1" applyBorder="1" applyAlignment="1">
      <alignment vertical="center"/>
    </xf>
    <xf numFmtId="176" fontId="12" fillId="6" borderId="8" xfId="3" applyNumberFormat="1" applyFont="1" applyFill="1" applyBorder="1" applyAlignment="1">
      <alignment horizontal="center" vertical="center"/>
    </xf>
    <xf numFmtId="43" fontId="13" fillId="6" borderId="9" xfId="0" applyNumberFormat="1" applyFont="1" applyFill="1" applyBorder="1" applyAlignment="1">
      <alignment vertical="center"/>
    </xf>
    <xf numFmtId="43" fontId="13" fillId="6" borderId="10" xfId="0" applyNumberFormat="1" applyFont="1" applyFill="1" applyBorder="1" applyAlignment="1">
      <alignment vertical="center"/>
    </xf>
    <xf numFmtId="176" fontId="13" fillId="6" borderId="10" xfId="3" applyNumberFormat="1" applyFont="1" applyFill="1" applyBorder="1" applyAlignment="1">
      <alignment horizontal="center" vertical="center"/>
    </xf>
    <xf numFmtId="43" fontId="13" fillId="6" borderId="11" xfId="0" applyNumberFormat="1" applyFont="1" applyFill="1" applyBorder="1" applyAlignment="1">
      <alignment vertical="center"/>
    </xf>
    <xf numFmtId="43" fontId="13" fillId="0" borderId="0" xfId="0" applyNumberFormat="1" applyFont="1" applyFill="1" applyAlignment="1">
      <alignment horizontal="center" vertical="center"/>
    </xf>
    <xf numFmtId="43" fontId="13" fillId="0" borderId="0" xfId="0" applyNumberFormat="1" applyFont="1" applyFill="1" applyAlignment="1">
      <alignment vertical="center"/>
    </xf>
    <xf numFmtId="43" fontId="13" fillId="6" borderId="12" xfId="0" applyNumberFormat="1" applyFont="1" applyFill="1" applyBorder="1" applyAlignment="1">
      <alignment vertical="center"/>
    </xf>
    <xf numFmtId="43" fontId="13" fillId="6" borderId="6" xfId="0" applyNumberFormat="1" applyFont="1" applyFill="1" applyBorder="1" applyAlignment="1">
      <alignment vertical="center"/>
    </xf>
    <xf numFmtId="176" fontId="13" fillId="6" borderId="6" xfId="3" applyNumberFormat="1" applyFont="1" applyFill="1" applyBorder="1" applyAlignment="1">
      <alignment horizontal="center" vertical="center"/>
    </xf>
    <xf numFmtId="43" fontId="13" fillId="6" borderId="13" xfId="0" applyNumberFormat="1" applyFont="1" applyFill="1" applyBorder="1" applyAlignment="1">
      <alignment vertical="center"/>
    </xf>
    <xf numFmtId="43" fontId="13" fillId="6" borderId="14" xfId="0" applyNumberFormat="1" applyFont="1" applyFill="1" applyBorder="1" applyAlignment="1">
      <alignment vertical="center"/>
    </xf>
    <xf numFmtId="43" fontId="13" fillId="6" borderId="15" xfId="0" applyNumberFormat="1" applyFont="1" applyFill="1" applyBorder="1" applyAlignment="1">
      <alignment vertical="center"/>
    </xf>
    <xf numFmtId="176" fontId="13" fillId="6" borderId="15" xfId="3" applyNumberFormat="1" applyFont="1" applyFill="1" applyBorder="1" applyAlignment="1">
      <alignment horizontal="center" vertical="center"/>
    </xf>
    <xf numFmtId="43" fontId="13" fillId="6" borderId="16" xfId="0" applyNumberFormat="1" applyFont="1" applyFill="1" applyBorder="1" applyAlignment="1">
      <alignment vertical="center"/>
    </xf>
    <xf numFmtId="43" fontId="12" fillId="6" borderId="17" xfId="0" applyNumberFormat="1" applyFont="1" applyFill="1" applyBorder="1" applyAlignment="1">
      <alignment vertical="center"/>
    </xf>
    <xf numFmtId="176" fontId="12" fillId="6" borderId="17" xfId="3" applyNumberFormat="1" applyFont="1" applyFill="1" applyBorder="1" applyAlignment="1">
      <alignment horizontal="center" vertical="center"/>
    </xf>
    <xf numFmtId="43" fontId="11" fillId="0" borderId="6" xfId="0" applyNumberFormat="1" applyFont="1" applyFill="1" applyBorder="1" applyAlignment="1">
      <alignment vertical="center"/>
    </xf>
    <xf numFmtId="43" fontId="11" fillId="6" borderId="6" xfId="0" applyNumberFormat="1" applyFont="1" applyFill="1" applyBorder="1" applyAlignment="1">
      <alignment vertical="center"/>
    </xf>
    <xf numFmtId="43" fontId="12" fillId="0" borderId="7" xfId="0" applyNumberFormat="1" applyFont="1" applyFill="1" applyBorder="1" applyAlignment="1">
      <alignment horizontal="center" vertical="center"/>
    </xf>
    <xf numFmtId="43" fontId="12" fillId="0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13" fillId="9" borderId="0" xfId="0" applyNumberFormat="1" applyFont="1" applyFill="1" applyAlignment="1">
      <alignment vertical="center"/>
    </xf>
    <xf numFmtId="176" fontId="12" fillId="0" borderId="6" xfId="3" applyNumberFormat="1" applyFont="1" applyFill="1" applyBorder="1" applyAlignment="1">
      <alignment horizontal="center" vertical="center"/>
    </xf>
    <xf numFmtId="177" fontId="12" fillId="0" borderId="6" xfId="3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43" fontId="17" fillId="0" borderId="0" xfId="0" applyNumberFormat="1" applyFont="1" applyFill="1" applyAlignment="1">
      <alignment vertical="center"/>
    </xf>
    <xf numFmtId="43" fontId="18" fillId="0" borderId="0" xfId="0" applyNumberFormat="1" applyFont="1" applyFill="1" applyAlignment="1">
      <alignment vertical="center" wrapText="1"/>
    </xf>
    <xf numFmtId="43" fontId="19" fillId="5" borderId="6" xfId="0" applyNumberFormat="1" applyFont="1" applyFill="1" applyBorder="1" applyAlignment="1">
      <alignment horizontal="center" vertical="center"/>
    </xf>
    <xf numFmtId="43" fontId="20" fillId="5" borderId="6" xfId="0" applyNumberFormat="1" applyFont="1" applyFill="1" applyBorder="1" applyAlignment="1">
      <alignment horizontal="center" vertical="center" wrapText="1"/>
    </xf>
    <xf numFmtId="43" fontId="21" fillId="0" borderId="8" xfId="0" applyNumberFormat="1" applyFont="1" applyFill="1" applyBorder="1" applyAlignment="1">
      <alignment horizontal="center" vertical="center"/>
    </xf>
    <xf numFmtId="43" fontId="15" fillId="0" borderId="8" xfId="0" applyNumberFormat="1" applyFont="1" applyFill="1" applyBorder="1" applyAlignment="1">
      <alignment horizontal="center" vertical="center"/>
    </xf>
    <xf numFmtId="9" fontId="15" fillId="0" borderId="6" xfId="3" applyNumberFormat="1" applyFont="1" applyFill="1" applyBorder="1" applyAlignment="1">
      <alignment horizontal="center" vertical="center"/>
    </xf>
    <xf numFmtId="10" fontId="17" fillId="0" borderId="6" xfId="3" applyNumberFormat="1" applyFont="1" applyFill="1" applyBorder="1" applyAlignment="1">
      <alignment horizontal="center" vertical="center"/>
    </xf>
    <xf numFmtId="9" fontId="15" fillId="0" borderId="6" xfId="3" applyFont="1" applyFill="1" applyBorder="1" applyAlignment="1">
      <alignment horizontal="center" vertical="center"/>
    </xf>
    <xf numFmtId="43" fontId="15" fillId="10" borderId="6" xfId="0" applyNumberFormat="1" applyFont="1" applyFill="1" applyBorder="1" applyAlignment="1">
      <alignment vertical="center"/>
    </xf>
    <xf numFmtId="43" fontId="22" fillId="10" borderId="6" xfId="0" applyNumberFormat="1" applyFont="1" applyFill="1" applyBorder="1" applyAlignment="1">
      <alignment horizontal="center" vertical="center"/>
    </xf>
    <xf numFmtId="178" fontId="22" fillId="10" borderId="6" xfId="0" applyNumberFormat="1" applyFont="1" applyFill="1" applyBorder="1" applyAlignment="1">
      <alignment horizontal="center" vertical="center"/>
    </xf>
    <xf numFmtId="0" fontId="22" fillId="10" borderId="6" xfId="0" applyNumberFormat="1" applyFont="1" applyFill="1" applyBorder="1" applyAlignment="1">
      <alignment horizontal="center" vertical="center"/>
    </xf>
    <xf numFmtId="43" fontId="22" fillId="10" borderId="6" xfId="0" applyNumberFormat="1" applyFont="1" applyFill="1" applyBorder="1" applyAlignment="1">
      <alignment vertical="center"/>
    </xf>
    <xf numFmtId="43" fontId="15" fillId="0" borderId="18" xfId="0" applyNumberFormat="1" applyFont="1" applyFill="1" applyBorder="1" applyAlignment="1">
      <alignment horizontal="center" vertical="center"/>
    </xf>
    <xf numFmtId="43" fontId="21" fillId="0" borderId="18" xfId="0" applyNumberFormat="1" applyFont="1" applyFill="1" applyBorder="1" applyAlignment="1">
      <alignment horizontal="center" vertical="center"/>
    </xf>
    <xf numFmtId="43" fontId="15" fillId="0" borderId="17" xfId="0" applyNumberFormat="1" applyFont="1" applyFill="1" applyBorder="1" applyAlignment="1">
      <alignment horizontal="center" vertical="center"/>
    </xf>
    <xf numFmtId="43" fontId="15" fillId="0" borderId="6" xfId="0" applyNumberFormat="1" applyFont="1" applyFill="1" applyBorder="1" applyAlignment="1">
      <alignment horizontal="center" vertical="center"/>
    </xf>
    <xf numFmtId="43" fontId="21" fillId="0" borderId="17" xfId="0" applyNumberFormat="1" applyFont="1" applyFill="1" applyBorder="1" applyAlignment="1">
      <alignment horizontal="center" vertical="center"/>
    </xf>
    <xf numFmtId="43" fontId="23" fillId="0" borderId="7" xfId="0" applyNumberFormat="1" applyFont="1" applyFill="1" applyBorder="1" applyAlignment="1">
      <alignment horizontal="center" vertical="center"/>
    </xf>
    <xf numFmtId="43" fontId="23" fillId="0" borderId="19" xfId="0" applyNumberFormat="1" applyFont="1" applyFill="1" applyBorder="1" applyAlignment="1">
      <alignment horizontal="center" vertical="center"/>
    </xf>
    <xf numFmtId="43" fontId="23" fillId="0" borderId="20" xfId="0" applyNumberFormat="1" applyFont="1" applyFill="1" applyBorder="1" applyAlignment="1">
      <alignment horizontal="center" vertical="center"/>
    </xf>
    <xf numFmtId="9" fontId="24" fillId="0" borderId="19" xfId="3" applyNumberFormat="1" applyFont="1" applyFill="1" applyBorder="1" applyAlignment="1">
      <alignment horizontal="center" vertical="center"/>
    </xf>
    <xf numFmtId="9" fontId="23" fillId="0" borderId="19" xfId="3" applyNumberFormat="1" applyFont="1" applyFill="1" applyBorder="1" applyAlignment="1">
      <alignment horizontal="center" vertical="center"/>
    </xf>
    <xf numFmtId="9" fontId="23" fillId="0" borderId="20" xfId="3" applyNumberFormat="1" applyFont="1" applyFill="1" applyBorder="1" applyAlignment="1">
      <alignment horizontal="center" vertical="center"/>
    </xf>
    <xf numFmtId="43" fontId="16" fillId="10" borderId="6" xfId="0" applyNumberFormat="1" applyFont="1" applyFill="1" applyBorder="1" applyAlignment="1">
      <alignment vertical="center"/>
    </xf>
    <xf numFmtId="43" fontId="25" fillId="10" borderId="6" xfId="0" applyNumberFormat="1" applyFont="1" applyFill="1" applyBorder="1" applyAlignment="1">
      <alignment horizontal="center" vertical="center"/>
    </xf>
    <xf numFmtId="43" fontId="15" fillId="0" borderId="6" xfId="0" applyNumberFormat="1" applyFont="1" applyFill="1" applyBorder="1" applyAlignment="1">
      <alignment vertical="center"/>
    </xf>
    <xf numFmtId="43" fontId="26" fillId="0" borderId="6" xfId="0" applyNumberFormat="1" applyFont="1" applyFill="1" applyBorder="1" applyAlignment="1">
      <alignment horizontal="center" vertical="center"/>
    </xf>
    <xf numFmtId="43" fontId="17" fillId="0" borderId="6" xfId="0" applyNumberFormat="1" applyFont="1" applyFill="1" applyBorder="1" applyAlignment="1">
      <alignment horizontal="center" vertical="center"/>
    </xf>
    <xf numFmtId="43" fontId="21" fillId="0" borderId="6" xfId="0" applyNumberFormat="1" applyFont="1" applyFill="1" applyBorder="1" applyAlignment="1">
      <alignment horizontal="center" vertical="center"/>
    </xf>
    <xf numFmtId="43" fontId="15" fillId="10" borderId="6" xfId="0" applyNumberFormat="1" applyFont="1" applyFill="1" applyBorder="1" applyAlignment="1">
      <alignment horizontal="center" vertical="center"/>
    </xf>
    <xf numFmtId="9" fontId="27" fillId="0" borderId="6" xfId="3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9" fontId="29" fillId="9" borderId="0" xfId="3" applyFont="1" applyFill="1" applyAlignment="1">
      <alignment horizontal="center" vertical="center"/>
    </xf>
    <xf numFmtId="43" fontId="30" fillId="9" borderId="0" xfId="0" applyNumberFormat="1" applyFont="1" applyFill="1" applyAlignment="1">
      <alignment vertical="center"/>
    </xf>
    <xf numFmtId="43" fontId="31" fillId="0" borderId="0" xfId="0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43" fontId="18" fillId="10" borderId="0" xfId="0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43" fontId="32" fillId="10" borderId="21" xfId="0" applyNumberFormat="1" applyFont="1" applyFill="1" applyBorder="1" applyAlignment="1">
      <alignment horizontal="center" vertical="center"/>
    </xf>
    <xf numFmtId="43" fontId="18" fillId="10" borderId="22" xfId="0" applyNumberFormat="1" applyFont="1" applyFill="1" applyBorder="1" applyAlignment="1">
      <alignment horizontal="center" vertical="center"/>
    </xf>
    <xf numFmtId="43" fontId="18" fillId="10" borderId="23" xfId="0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33" fillId="0" borderId="24" xfId="0" applyFont="1" applyBorder="1" applyAlignment="1">
      <alignment vertical="top" wrapText="1"/>
    </xf>
    <xf numFmtId="0" fontId="34" fillId="0" borderId="24" xfId="0" applyFont="1" applyBorder="1" applyAlignment="1">
      <alignment vertical="top" wrapText="1"/>
    </xf>
    <xf numFmtId="0" fontId="33" fillId="0" borderId="25" xfId="0" applyFont="1" applyBorder="1" applyAlignment="1">
      <alignment vertical="top" wrapText="1"/>
    </xf>
    <xf numFmtId="0" fontId="34" fillId="0" borderId="26" xfId="0" applyFont="1" applyBorder="1" applyAlignment="1">
      <alignment vertical="top" wrapText="1"/>
    </xf>
    <xf numFmtId="0" fontId="33" fillId="0" borderId="26" xfId="0" applyFont="1" applyBorder="1" applyAlignment="1">
      <alignment vertical="top" wrapText="1"/>
    </xf>
    <xf numFmtId="0" fontId="17" fillId="0" borderId="0" xfId="0" applyFont="1">
      <alignment vertical="center"/>
    </xf>
    <xf numFmtId="0" fontId="1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2"/>
  <sheetViews>
    <sheetView showGridLines="0" zoomScale="70" zoomScaleNormal="7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7.6"/>
  <cols>
    <col min="1" max="1" width="24.7115384615385" style="93" customWidth="1"/>
    <col min="2" max="2" width="26.7980769230769" style="93" customWidth="1"/>
    <col min="3" max="3" width="22.2019230769231" style="93" customWidth="1"/>
    <col min="4" max="4" width="7.5" style="93" customWidth="1"/>
    <col min="5" max="5" width="19.2307692307692" style="93" customWidth="1"/>
    <col min="6" max="6" width="20.8365384615385" style="93" customWidth="1"/>
    <col min="7" max="7" width="10.2980769230769" style="99" customWidth="1"/>
    <col min="8" max="8" width="11.8942307692308" style="64" customWidth="1"/>
    <col min="9" max="9" width="21.9711538461538" style="61" customWidth="1"/>
    <col min="10" max="10" width="22.8942307692308" style="61" customWidth="1"/>
    <col min="11" max="11" width="22.6634615384615" style="100" hidden="1" customWidth="1"/>
    <col min="12" max="12" width="15" style="100" customWidth="1"/>
    <col min="13" max="13" width="12.8173076923077" style="100" hidden="1" customWidth="1"/>
    <col min="14" max="14" width="18.7692307692308" style="100" hidden="1" customWidth="1"/>
    <col min="15" max="15" width="19.4615384615385" style="100" hidden="1" customWidth="1"/>
    <col min="16" max="16" width="20.6057692307692" style="100" hidden="1" customWidth="1"/>
    <col min="17" max="16384" width="9" style="59"/>
  </cols>
  <sheetData>
    <row r="1" s="58" customFormat="1" ht="41" spans="1:16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101" t="s">
        <v>6</v>
      </c>
      <c r="H1" s="65" t="s">
        <v>7</v>
      </c>
      <c r="I1" s="65" t="s">
        <v>8</v>
      </c>
      <c r="J1" s="65" t="s">
        <v>9</v>
      </c>
      <c r="K1" s="102" t="s">
        <v>10</v>
      </c>
      <c r="L1" s="65" t="s">
        <v>11</v>
      </c>
      <c r="M1" s="102" t="s">
        <v>12</v>
      </c>
      <c r="N1" s="102" t="s">
        <v>13</v>
      </c>
      <c r="O1" s="102" t="s">
        <v>14</v>
      </c>
      <c r="P1" s="102" t="s">
        <v>15</v>
      </c>
    </row>
    <row r="2" s="97" customFormat="1" ht="36" customHeight="1" spans="1:16">
      <c r="A2" s="103" t="s">
        <v>16</v>
      </c>
      <c r="B2" s="103" t="s">
        <v>17</v>
      </c>
      <c r="C2" s="104">
        <v>6916917</v>
      </c>
      <c r="D2" s="105">
        <v>0.2</v>
      </c>
      <c r="E2" s="104">
        <v>1383448</v>
      </c>
      <c r="F2" s="104">
        <v>8300365</v>
      </c>
      <c r="G2" s="106">
        <v>0.006</v>
      </c>
      <c r="H2" s="107">
        <v>0.4</v>
      </c>
      <c r="I2" s="104">
        <v>3342932</v>
      </c>
      <c r="J2" s="108">
        <v>1671466</v>
      </c>
      <c r="K2" s="109" t="s">
        <v>18</v>
      </c>
      <c r="L2" s="110">
        <v>45608</v>
      </c>
      <c r="M2" s="111">
        <v>13.552</v>
      </c>
      <c r="N2" s="112">
        <v>22651708.32</v>
      </c>
      <c r="O2" s="109" t="s">
        <v>18</v>
      </c>
      <c r="P2" s="109" t="s">
        <v>18</v>
      </c>
    </row>
    <row r="3" s="97" customFormat="1" ht="36" customHeight="1" spans="1:16">
      <c r="A3" s="113"/>
      <c r="B3" s="114"/>
      <c r="C3" s="113"/>
      <c r="D3" s="105"/>
      <c r="E3" s="113"/>
      <c r="F3" s="113"/>
      <c r="G3" s="106"/>
      <c r="H3" s="107"/>
      <c r="I3" s="115"/>
      <c r="J3" s="108">
        <v>1671466</v>
      </c>
      <c r="K3" s="109" t="s">
        <v>18</v>
      </c>
      <c r="L3" s="110">
        <v>45650</v>
      </c>
      <c r="M3" s="111">
        <v>13.8254</v>
      </c>
      <c r="N3" s="109" t="s">
        <v>18</v>
      </c>
      <c r="O3" s="112">
        <v>23108687.14</v>
      </c>
      <c r="P3" s="109" t="s">
        <v>18</v>
      </c>
    </row>
    <row r="4" s="97" customFormat="1" ht="36" customHeight="1" spans="1:16">
      <c r="A4" s="113"/>
      <c r="B4" s="114"/>
      <c r="C4" s="113"/>
      <c r="D4" s="105"/>
      <c r="E4" s="113"/>
      <c r="F4" s="113"/>
      <c r="G4" s="106"/>
      <c r="H4" s="116" t="s">
        <v>18</v>
      </c>
      <c r="I4" s="116" t="s">
        <v>18</v>
      </c>
      <c r="J4" s="108">
        <v>4140942.82</v>
      </c>
      <c r="K4" s="112">
        <v>4140942.82</v>
      </c>
      <c r="L4" s="110">
        <v>45962</v>
      </c>
      <c r="M4" s="109" t="s">
        <v>18</v>
      </c>
      <c r="N4" s="109" t="s">
        <v>18</v>
      </c>
      <c r="O4" s="109" t="s">
        <v>18</v>
      </c>
      <c r="P4" s="109" t="s">
        <v>18</v>
      </c>
    </row>
    <row r="5" s="97" customFormat="1" ht="36" customHeight="1" spans="1:16">
      <c r="A5" s="115"/>
      <c r="B5" s="117"/>
      <c r="C5" s="115"/>
      <c r="D5" s="105"/>
      <c r="E5" s="115"/>
      <c r="F5" s="115"/>
      <c r="G5" s="106"/>
      <c r="H5" s="116" t="s">
        <v>18</v>
      </c>
      <c r="I5" s="116" t="s">
        <v>18</v>
      </c>
      <c r="J5" s="108">
        <v>859057.18</v>
      </c>
      <c r="K5" s="112">
        <v>859057.18</v>
      </c>
      <c r="L5" s="110">
        <v>45966</v>
      </c>
      <c r="M5" s="109" t="s">
        <v>18</v>
      </c>
      <c r="N5" s="109" t="s">
        <v>18</v>
      </c>
      <c r="O5" s="109" t="s">
        <v>18</v>
      </c>
      <c r="P5" s="109" t="s">
        <v>18</v>
      </c>
    </row>
    <row r="6" s="98" customFormat="1" ht="36" customHeight="1" spans="1:16">
      <c r="A6" s="118" t="s">
        <v>19</v>
      </c>
      <c r="B6" s="119"/>
      <c r="C6" s="119"/>
      <c r="D6" s="119"/>
      <c r="E6" s="119"/>
      <c r="F6" s="120"/>
      <c r="G6" s="121">
        <f>J6/F2</f>
        <v>1.00512832869398</v>
      </c>
      <c r="H6" s="122"/>
      <c r="I6" s="123"/>
      <c r="J6" s="124">
        <f>SUM(J2:J5)</f>
        <v>8342932</v>
      </c>
      <c r="K6" s="125">
        <f>K4+K5</f>
        <v>5000000</v>
      </c>
      <c r="L6" s="125" t="s">
        <v>18</v>
      </c>
      <c r="M6" s="125" t="s">
        <v>18</v>
      </c>
      <c r="N6" s="125" t="s">
        <v>18</v>
      </c>
      <c r="O6" s="125" t="s">
        <v>18</v>
      </c>
      <c r="P6" s="125" t="s">
        <v>18</v>
      </c>
    </row>
    <row r="7" s="97" customFormat="1" ht="36" customHeight="1" spans="1:16">
      <c r="A7" s="103" t="s">
        <v>20</v>
      </c>
      <c r="B7" s="103" t="s">
        <v>21</v>
      </c>
      <c r="C7" s="104">
        <v>6964442</v>
      </c>
      <c r="D7" s="105">
        <v>0.2</v>
      </c>
      <c r="E7" s="104">
        <v>1392888</v>
      </c>
      <c r="F7" s="104">
        <v>8357330</v>
      </c>
      <c r="G7" s="106">
        <v>0.006</v>
      </c>
      <c r="H7" s="107">
        <v>0.4</v>
      </c>
      <c r="I7" s="104">
        <v>3320146</v>
      </c>
      <c r="J7" s="108">
        <v>1660073</v>
      </c>
      <c r="K7" s="109" t="s">
        <v>18</v>
      </c>
      <c r="L7" s="110">
        <v>45608</v>
      </c>
      <c r="M7" s="111">
        <v>13.552</v>
      </c>
      <c r="N7" s="112">
        <v>22497309.84</v>
      </c>
      <c r="O7" s="109" t="s">
        <v>18</v>
      </c>
      <c r="P7" s="109" t="s">
        <v>18</v>
      </c>
    </row>
    <row r="8" s="97" customFormat="1" ht="36" customHeight="1" spans="1:16">
      <c r="A8" s="113"/>
      <c r="B8" s="114"/>
      <c r="C8" s="113"/>
      <c r="D8" s="105"/>
      <c r="E8" s="113"/>
      <c r="F8" s="113"/>
      <c r="G8" s="106"/>
      <c r="H8" s="107"/>
      <c r="I8" s="115"/>
      <c r="J8" s="108">
        <v>1660073</v>
      </c>
      <c r="K8" s="109" t="s">
        <v>18</v>
      </c>
      <c r="L8" s="110">
        <v>45650</v>
      </c>
      <c r="M8" s="111">
        <v>13.8254</v>
      </c>
      <c r="N8" s="109" t="s">
        <v>18</v>
      </c>
      <c r="O8" s="112">
        <v>22951173.81</v>
      </c>
      <c r="P8" s="109" t="s">
        <v>18</v>
      </c>
    </row>
    <row r="9" s="97" customFormat="1" ht="36" customHeight="1" spans="1:16">
      <c r="A9" s="113"/>
      <c r="B9" s="114"/>
      <c r="C9" s="113"/>
      <c r="D9" s="105"/>
      <c r="E9" s="113"/>
      <c r="F9" s="113"/>
      <c r="G9" s="106"/>
      <c r="H9" s="116" t="s">
        <v>18</v>
      </c>
      <c r="I9" s="116" t="s">
        <v>18</v>
      </c>
      <c r="J9" s="108">
        <v>4142262.59</v>
      </c>
      <c r="K9" s="109">
        <v>4142262.59</v>
      </c>
      <c r="L9" s="110">
        <v>45912</v>
      </c>
      <c r="M9" s="109" t="s">
        <v>18</v>
      </c>
      <c r="N9" s="109" t="s">
        <v>18</v>
      </c>
      <c r="O9" s="109" t="s">
        <v>18</v>
      </c>
      <c r="P9" s="109" t="s">
        <v>18</v>
      </c>
    </row>
    <row r="10" s="97" customFormat="1" ht="36" customHeight="1" spans="1:16">
      <c r="A10" s="115"/>
      <c r="B10" s="117"/>
      <c r="C10" s="115"/>
      <c r="D10" s="105"/>
      <c r="E10" s="115"/>
      <c r="F10" s="115"/>
      <c r="G10" s="106"/>
      <c r="H10" s="116" t="s">
        <v>18</v>
      </c>
      <c r="I10" s="116" t="s">
        <v>18</v>
      </c>
      <c r="J10" s="108">
        <v>3620821.52</v>
      </c>
      <c r="K10" s="109">
        <v>3620821.52</v>
      </c>
      <c r="L10" s="110">
        <v>46010</v>
      </c>
      <c r="M10" s="109" t="s">
        <v>18</v>
      </c>
      <c r="N10" s="109" t="s">
        <v>18</v>
      </c>
      <c r="O10" s="109" t="s">
        <v>18</v>
      </c>
      <c r="P10" s="109" t="s">
        <v>18</v>
      </c>
    </row>
    <row r="11" s="98" customFormat="1" ht="36" customHeight="1" spans="1:16">
      <c r="A11" s="118" t="s">
        <v>19</v>
      </c>
      <c r="B11" s="119"/>
      <c r="C11" s="119"/>
      <c r="D11" s="119"/>
      <c r="E11" s="119"/>
      <c r="F11" s="120"/>
      <c r="G11" s="121">
        <f>J11/F7</f>
        <v>1.32616877758806</v>
      </c>
      <c r="H11" s="122"/>
      <c r="I11" s="123"/>
      <c r="J11" s="124">
        <f>SUM(J7:J10)</f>
        <v>11083230.11</v>
      </c>
      <c r="K11" s="125">
        <f>K9+K10</f>
        <v>7763084.11</v>
      </c>
      <c r="L11" s="125" t="s">
        <v>18</v>
      </c>
      <c r="M11" s="125" t="s">
        <v>18</v>
      </c>
      <c r="N11" s="125" t="s">
        <v>18</v>
      </c>
      <c r="O11" s="125" t="s">
        <v>18</v>
      </c>
      <c r="P11" s="125" t="s">
        <v>18</v>
      </c>
    </row>
    <row r="12" s="97" customFormat="1" ht="36" customHeight="1" spans="1:16">
      <c r="A12" s="103" t="s">
        <v>22</v>
      </c>
      <c r="B12" s="103" t="s">
        <v>23</v>
      </c>
      <c r="C12" s="104">
        <v>19854593.52</v>
      </c>
      <c r="D12" s="105">
        <v>0.2</v>
      </c>
      <c r="E12" s="104">
        <v>3970918.71</v>
      </c>
      <c r="F12" s="104">
        <v>23825512.23</v>
      </c>
      <c r="G12" s="106">
        <v>0.0171</v>
      </c>
      <c r="H12" s="107">
        <v>0.4</v>
      </c>
      <c r="I12" s="126">
        <v>9530204.89</v>
      </c>
      <c r="J12" s="108">
        <v>9530204.89</v>
      </c>
      <c r="K12" s="108">
        <v>9530204.89</v>
      </c>
      <c r="L12" s="110">
        <v>45723</v>
      </c>
      <c r="M12" s="111">
        <v>12.2892</v>
      </c>
      <c r="N12" s="109" t="s">
        <v>18</v>
      </c>
      <c r="O12" s="109" t="s">
        <v>18</v>
      </c>
      <c r="P12" s="112">
        <v>117118593.93</v>
      </c>
    </row>
    <row r="13" s="97" customFormat="1" ht="36" customHeight="1" spans="1:16">
      <c r="A13" s="113"/>
      <c r="B13" s="114"/>
      <c r="C13" s="113"/>
      <c r="D13" s="105"/>
      <c r="E13" s="113"/>
      <c r="F13" s="113"/>
      <c r="G13" s="106"/>
      <c r="H13" s="116" t="s">
        <v>18</v>
      </c>
      <c r="I13" s="116" t="s">
        <v>18</v>
      </c>
      <c r="J13" s="108">
        <v>5514983.4</v>
      </c>
      <c r="K13" s="108">
        <v>5514983.4</v>
      </c>
      <c r="L13" s="110">
        <v>45987</v>
      </c>
      <c r="M13" s="111"/>
      <c r="N13" s="109"/>
      <c r="O13" s="109"/>
      <c r="P13" s="112"/>
    </row>
    <row r="14" s="97" customFormat="1" ht="36" customHeight="1" spans="1:16">
      <c r="A14" s="115"/>
      <c r="B14" s="117"/>
      <c r="C14" s="115"/>
      <c r="D14" s="105"/>
      <c r="E14" s="115"/>
      <c r="F14" s="115"/>
      <c r="G14" s="106"/>
      <c r="H14" s="116" t="s">
        <v>18</v>
      </c>
      <c r="I14" s="116" t="s">
        <v>18</v>
      </c>
      <c r="J14" s="108">
        <v>6621137.8</v>
      </c>
      <c r="K14" s="108">
        <v>6621137.8</v>
      </c>
      <c r="L14" s="110">
        <v>46010</v>
      </c>
      <c r="M14" s="111"/>
      <c r="N14" s="109"/>
      <c r="O14" s="109"/>
      <c r="P14" s="112"/>
    </row>
    <row r="15" s="98" customFormat="1" ht="36" customHeight="1" spans="1:16">
      <c r="A15" s="118" t="s">
        <v>24</v>
      </c>
      <c r="B15" s="119"/>
      <c r="C15" s="119"/>
      <c r="D15" s="119"/>
      <c r="E15" s="119"/>
      <c r="F15" s="120"/>
      <c r="G15" s="121">
        <f>J15/F12</f>
        <v>0.909375038019907</v>
      </c>
      <c r="H15" s="122"/>
      <c r="I15" s="123"/>
      <c r="J15" s="124">
        <f>SUM(J12:J14)</f>
        <v>21666326.09</v>
      </c>
      <c r="K15" s="125">
        <f t="shared" ref="K15:K17" si="0">J15</f>
        <v>21666326.09</v>
      </c>
      <c r="L15" s="125" t="s">
        <v>18</v>
      </c>
      <c r="M15" s="125" t="s">
        <v>18</v>
      </c>
      <c r="N15" s="125" t="s">
        <v>18</v>
      </c>
      <c r="O15" s="125" t="s">
        <v>18</v>
      </c>
      <c r="P15" s="125" t="s">
        <v>18</v>
      </c>
    </row>
    <row r="16" s="97" customFormat="1" ht="36" customHeight="1" spans="1:16">
      <c r="A16" s="127" t="s">
        <v>25</v>
      </c>
      <c r="B16" s="116" t="s">
        <v>18</v>
      </c>
      <c r="C16" s="116" t="s">
        <v>18</v>
      </c>
      <c r="D16" s="116" t="s">
        <v>18</v>
      </c>
      <c r="E16" s="116" t="s">
        <v>18</v>
      </c>
      <c r="F16" s="116" t="s">
        <v>18</v>
      </c>
      <c r="G16" s="128" t="s">
        <v>18</v>
      </c>
      <c r="H16" s="116" t="s">
        <v>18</v>
      </c>
      <c r="I16" s="116" t="s">
        <v>18</v>
      </c>
      <c r="J16" s="124">
        <v>15000000</v>
      </c>
      <c r="K16" s="125">
        <f t="shared" si="0"/>
        <v>15000000</v>
      </c>
      <c r="L16" s="110">
        <v>45925</v>
      </c>
      <c r="M16" s="125" t="s">
        <v>18</v>
      </c>
      <c r="N16" s="125" t="s">
        <v>18</v>
      </c>
      <c r="O16" s="125" t="s">
        <v>18</v>
      </c>
      <c r="P16" s="125" t="s">
        <v>18</v>
      </c>
    </row>
    <row r="17" s="97" customFormat="1" ht="36" customHeight="1" spans="1:16">
      <c r="A17" s="127" t="s">
        <v>26</v>
      </c>
      <c r="B17" s="116" t="s">
        <v>18</v>
      </c>
      <c r="C17" s="116" t="s">
        <v>18</v>
      </c>
      <c r="D17" s="116" t="s">
        <v>18</v>
      </c>
      <c r="E17" s="116" t="s">
        <v>18</v>
      </c>
      <c r="F17" s="116" t="s">
        <v>18</v>
      </c>
      <c r="G17" s="128" t="s">
        <v>18</v>
      </c>
      <c r="H17" s="116" t="s">
        <v>18</v>
      </c>
      <c r="I17" s="116" t="s">
        <v>18</v>
      </c>
      <c r="J17" s="124">
        <v>5333658.96980462</v>
      </c>
      <c r="K17" s="125">
        <f t="shared" si="0"/>
        <v>5333658.96980462</v>
      </c>
      <c r="L17" s="110">
        <v>45950</v>
      </c>
      <c r="M17" s="125" t="s">
        <v>18</v>
      </c>
      <c r="N17" s="125" t="s">
        <v>18</v>
      </c>
      <c r="O17" s="125" t="s">
        <v>18</v>
      </c>
      <c r="P17" s="125" t="s">
        <v>18</v>
      </c>
    </row>
    <row r="18" s="97" customFormat="1" ht="36" customHeight="1" spans="1:16">
      <c r="A18" s="129" t="s">
        <v>27</v>
      </c>
      <c r="B18" s="116" t="s">
        <v>18</v>
      </c>
      <c r="C18" s="116">
        <v>40225605.39</v>
      </c>
      <c r="D18" s="105">
        <v>0.09</v>
      </c>
      <c r="E18" s="116">
        <f t="shared" ref="E18:E23" si="1">F18-C18</f>
        <v>3620304.48</v>
      </c>
      <c r="F18" s="126">
        <v>43845909.87</v>
      </c>
      <c r="G18" s="106">
        <v>0.0347</v>
      </c>
      <c r="H18" s="105">
        <v>0.05</v>
      </c>
      <c r="I18" s="116" t="s">
        <v>18</v>
      </c>
      <c r="J18" s="130" t="s">
        <v>18</v>
      </c>
      <c r="K18" s="109" t="s">
        <v>18</v>
      </c>
      <c r="L18" s="125" t="s">
        <v>18</v>
      </c>
      <c r="M18" s="109" t="s">
        <v>18</v>
      </c>
      <c r="N18" s="109" t="s">
        <v>18</v>
      </c>
      <c r="O18" s="109" t="s">
        <v>18</v>
      </c>
      <c r="P18" s="109" t="s">
        <v>18</v>
      </c>
    </row>
    <row r="19" s="97" customFormat="1" ht="36" customHeight="1" spans="1:16">
      <c r="A19" s="103" t="s">
        <v>28</v>
      </c>
      <c r="B19" s="103" t="s">
        <v>29</v>
      </c>
      <c r="C19" s="104">
        <v>381828005.45</v>
      </c>
      <c r="D19" s="105">
        <v>0.2</v>
      </c>
      <c r="E19" s="104">
        <f t="shared" si="1"/>
        <v>76365601.09</v>
      </c>
      <c r="F19" s="104">
        <v>458193606.54</v>
      </c>
      <c r="G19" s="106">
        <v>0.3297</v>
      </c>
      <c r="H19" s="105">
        <v>0.1</v>
      </c>
      <c r="I19" s="126">
        <v>45819360.65</v>
      </c>
      <c r="J19" s="108">
        <v>45819360.65</v>
      </c>
      <c r="K19" s="112">
        <v>45819360.65</v>
      </c>
      <c r="L19" s="110">
        <v>45769</v>
      </c>
      <c r="M19" s="109" t="s">
        <v>18</v>
      </c>
      <c r="N19" s="109" t="s">
        <v>18</v>
      </c>
      <c r="O19" s="109" t="s">
        <v>18</v>
      </c>
      <c r="P19" s="109" t="s">
        <v>18</v>
      </c>
    </row>
    <row r="20" s="97" customFormat="1" ht="36" customHeight="1" spans="1:16">
      <c r="A20" s="114"/>
      <c r="B20" s="114"/>
      <c r="C20" s="113"/>
      <c r="D20" s="105"/>
      <c r="E20" s="113"/>
      <c r="F20" s="113"/>
      <c r="G20" s="106"/>
      <c r="H20" s="116" t="s">
        <v>18</v>
      </c>
      <c r="I20" s="116" t="s">
        <v>18</v>
      </c>
      <c r="J20" s="130">
        <v>2897179.57</v>
      </c>
      <c r="K20" s="109">
        <v>2897179.57</v>
      </c>
      <c r="L20" s="110">
        <v>46003</v>
      </c>
      <c r="M20" s="109" t="s">
        <v>18</v>
      </c>
      <c r="N20" s="109" t="s">
        <v>18</v>
      </c>
      <c r="O20" s="109" t="s">
        <v>18</v>
      </c>
      <c r="P20" s="109" t="s">
        <v>18</v>
      </c>
    </row>
    <row r="21" s="97" customFormat="1" ht="36" customHeight="1" spans="1:16">
      <c r="A21" s="117"/>
      <c r="B21" s="117"/>
      <c r="C21" s="115"/>
      <c r="D21" s="105"/>
      <c r="E21" s="115"/>
      <c r="F21" s="115"/>
      <c r="G21" s="106"/>
      <c r="H21" s="116" t="s">
        <v>18</v>
      </c>
      <c r="I21" s="116" t="s">
        <v>18</v>
      </c>
      <c r="J21" s="130">
        <v>4590311.14</v>
      </c>
      <c r="K21" s="109">
        <v>4590311.14</v>
      </c>
      <c r="L21" s="110">
        <v>46003</v>
      </c>
      <c r="M21" s="109"/>
      <c r="N21" s="109"/>
      <c r="O21" s="109"/>
      <c r="P21" s="109"/>
    </row>
    <row r="22" s="97" customFormat="1" ht="36" customHeight="1" spans="1:16">
      <c r="A22" s="118" t="s">
        <v>24</v>
      </c>
      <c r="B22" s="119"/>
      <c r="C22" s="119"/>
      <c r="D22" s="119"/>
      <c r="E22" s="119"/>
      <c r="F22" s="120"/>
      <c r="G22" s="121">
        <f>J22/F19</f>
        <v>0.116341325149735</v>
      </c>
      <c r="H22" s="122"/>
      <c r="I22" s="123"/>
      <c r="J22" s="124">
        <f>J19+J20+J21</f>
        <v>53306851.36</v>
      </c>
      <c r="K22" s="125">
        <f>J22</f>
        <v>53306851.36</v>
      </c>
      <c r="L22" s="125" t="s">
        <v>18</v>
      </c>
      <c r="M22" s="109" t="s">
        <v>18</v>
      </c>
      <c r="N22" s="109" t="s">
        <v>18</v>
      </c>
      <c r="O22" s="109" t="s">
        <v>18</v>
      </c>
      <c r="P22" s="109" t="s">
        <v>18</v>
      </c>
    </row>
    <row r="23" s="97" customFormat="1" ht="36" customHeight="1" spans="1:16">
      <c r="A23" s="129" t="s">
        <v>30</v>
      </c>
      <c r="B23" s="129" t="s">
        <v>31</v>
      </c>
      <c r="C23" s="116">
        <v>702429649.91</v>
      </c>
      <c r="D23" s="105">
        <v>0.2</v>
      </c>
      <c r="E23" s="116">
        <f t="shared" si="1"/>
        <v>140485929.98</v>
      </c>
      <c r="F23" s="126">
        <v>842915579.89</v>
      </c>
      <c r="G23" s="106">
        <v>0.6065</v>
      </c>
      <c r="H23" s="131">
        <v>0.05</v>
      </c>
      <c r="I23" s="126">
        <v>42145778.99</v>
      </c>
      <c r="J23" s="124">
        <v>42145778.99</v>
      </c>
      <c r="K23" s="125">
        <f>J23</f>
        <v>42145778.99</v>
      </c>
      <c r="L23" s="110">
        <v>45827</v>
      </c>
      <c r="M23" s="109" t="s">
        <v>18</v>
      </c>
      <c r="N23" s="109" t="s">
        <v>18</v>
      </c>
      <c r="O23" s="109" t="s">
        <v>18</v>
      </c>
      <c r="P23" s="109" t="s">
        <v>18</v>
      </c>
    </row>
    <row r="24" s="59" customFormat="1" ht="24.75" spans="1:16">
      <c r="A24" s="132" t="s">
        <v>32</v>
      </c>
      <c r="B24" s="93" t="s">
        <v>18</v>
      </c>
      <c r="C24" s="93">
        <f t="shared" ref="C24:G24" si="2">C2+C7+C12+C18+C19+C23</f>
        <v>1158219213.27</v>
      </c>
      <c r="D24" s="93" t="s">
        <v>18</v>
      </c>
      <c r="E24" s="93">
        <f t="shared" si="2"/>
        <v>227219090.26</v>
      </c>
      <c r="F24" s="93" t="s">
        <v>18</v>
      </c>
      <c r="G24" s="133">
        <f t="shared" si="2"/>
        <v>1</v>
      </c>
      <c r="H24" s="93" t="s">
        <v>18</v>
      </c>
      <c r="I24" s="93" t="s">
        <v>18</v>
      </c>
      <c r="J24" s="134">
        <f>J6+J11+J15+J16+J22+J23+J17</f>
        <v>156878777.519805</v>
      </c>
      <c r="K24" s="135">
        <f>K6+K11+K15+K16+K22+K23+K17</f>
        <v>150215699.519805</v>
      </c>
      <c r="L24" s="135"/>
      <c r="M24" s="136" t="s">
        <v>18</v>
      </c>
      <c r="N24" s="137">
        <f t="shared" ref="N24:P24" si="3">SUM(N2:N23)</f>
        <v>45149018.16</v>
      </c>
      <c r="O24" s="137">
        <f t="shared" si="3"/>
        <v>46059860.95</v>
      </c>
      <c r="P24" s="137">
        <f t="shared" si="3"/>
        <v>117118593.93</v>
      </c>
    </row>
    <row r="25" s="59" customFormat="1" ht="18.35" spans="1:16">
      <c r="A25" s="93"/>
      <c r="B25" s="93"/>
      <c r="C25" s="93"/>
      <c r="D25" s="93"/>
      <c r="E25" s="93"/>
      <c r="F25" s="93"/>
      <c r="G25" s="138"/>
      <c r="H25" s="93"/>
      <c r="I25" s="58"/>
      <c r="J25" s="58"/>
      <c r="K25" s="139"/>
      <c r="L25" s="139"/>
      <c r="M25" s="139"/>
      <c r="N25" s="140" t="s">
        <v>33</v>
      </c>
      <c r="O25" s="141"/>
      <c r="P25" s="142">
        <f>N24+O24+P24</f>
        <v>208327473.04</v>
      </c>
    </row>
    <row r="26" s="59" customFormat="1" spans="1:16">
      <c r="A26" s="143" t="s">
        <v>34</v>
      </c>
      <c r="B26" s="143"/>
      <c r="C26" s="93" t="s">
        <v>35</v>
      </c>
      <c r="D26" s="93" t="s">
        <v>36</v>
      </c>
      <c r="E26" s="93" t="s">
        <v>36</v>
      </c>
      <c r="F26" s="93" t="s">
        <v>36</v>
      </c>
      <c r="G26" s="138" t="s">
        <v>36</v>
      </c>
      <c r="H26" s="93" t="s">
        <v>36</v>
      </c>
      <c r="I26" s="58" t="s">
        <v>36</v>
      </c>
      <c r="J26" s="58" t="s">
        <v>36</v>
      </c>
      <c r="K26" s="139" t="s">
        <v>36</v>
      </c>
      <c r="L26" s="139"/>
      <c r="M26" s="139" t="s">
        <v>36</v>
      </c>
      <c r="N26" s="139" t="s">
        <v>36</v>
      </c>
      <c r="O26" s="139" t="s">
        <v>36</v>
      </c>
      <c r="P26" s="139" t="s">
        <v>36</v>
      </c>
    </row>
    <row r="27" s="59" customFormat="1" spans="1:16">
      <c r="A27" s="143" t="s">
        <v>37</v>
      </c>
      <c r="B27" s="143"/>
      <c r="C27" s="93" t="s">
        <v>35</v>
      </c>
      <c r="D27" s="93" t="s">
        <v>36</v>
      </c>
      <c r="E27" s="93" t="s">
        <v>36</v>
      </c>
      <c r="F27" s="93" t="s">
        <v>36</v>
      </c>
      <c r="G27" s="138" t="s">
        <v>36</v>
      </c>
      <c r="H27" s="93" t="s">
        <v>36</v>
      </c>
      <c r="I27" s="58" t="s">
        <v>36</v>
      </c>
      <c r="J27" s="58" t="s">
        <v>36</v>
      </c>
      <c r="K27" s="139" t="s">
        <v>36</v>
      </c>
      <c r="L27" s="139"/>
      <c r="M27" s="139" t="s">
        <v>36</v>
      </c>
      <c r="N27" s="139" t="s">
        <v>36</v>
      </c>
      <c r="O27" s="139" t="s">
        <v>36</v>
      </c>
      <c r="P27" s="139" t="s">
        <v>36</v>
      </c>
    </row>
    <row r="28" s="59" customFormat="1" spans="1:16">
      <c r="A28" s="143" t="s">
        <v>38</v>
      </c>
      <c r="B28" s="143"/>
      <c r="C28" s="93" t="s">
        <v>35</v>
      </c>
      <c r="D28" s="93" t="s">
        <v>36</v>
      </c>
      <c r="E28" s="93" t="s">
        <v>36</v>
      </c>
      <c r="F28" s="93" t="s">
        <v>36</v>
      </c>
      <c r="G28" s="138" t="s">
        <v>36</v>
      </c>
      <c r="H28" s="93" t="s">
        <v>36</v>
      </c>
      <c r="I28" s="58" t="s">
        <v>36</v>
      </c>
      <c r="J28" s="58" t="s">
        <v>36</v>
      </c>
      <c r="K28" s="139" t="s">
        <v>36</v>
      </c>
      <c r="L28" s="139"/>
      <c r="M28" s="139" t="s">
        <v>36</v>
      </c>
      <c r="N28" s="139" t="s">
        <v>36</v>
      </c>
      <c r="O28" s="139" t="s">
        <v>36</v>
      </c>
      <c r="P28" s="139" t="s">
        <v>36</v>
      </c>
    </row>
    <row r="29" s="59" customFormat="1" spans="1:16">
      <c r="A29" s="143" t="s">
        <v>39</v>
      </c>
      <c r="B29" s="143"/>
      <c r="C29" s="93" t="s">
        <v>35</v>
      </c>
      <c r="D29" s="93" t="s">
        <v>36</v>
      </c>
      <c r="E29" s="93" t="s">
        <v>36</v>
      </c>
      <c r="F29" s="93" t="s">
        <v>36</v>
      </c>
      <c r="G29" s="138" t="s">
        <v>36</v>
      </c>
      <c r="H29" s="93" t="s">
        <v>36</v>
      </c>
      <c r="I29" s="58" t="s">
        <v>36</v>
      </c>
      <c r="J29" s="58" t="s">
        <v>36</v>
      </c>
      <c r="K29" s="139" t="s">
        <v>36</v>
      </c>
      <c r="L29" s="139"/>
      <c r="M29" s="139" t="s">
        <v>36</v>
      </c>
      <c r="N29" s="139" t="s">
        <v>36</v>
      </c>
      <c r="O29" s="139" t="s">
        <v>36</v>
      </c>
      <c r="P29" s="139" t="s">
        <v>36</v>
      </c>
    </row>
    <row r="30" s="59" customFormat="1" spans="1:16">
      <c r="A30" s="143" t="s">
        <v>40</v>
      </c>
      <c r="B30" s="143"/>
      <c r="C30" s="93" t="s">
        <v>35</v>
      </c>
      <c r="D30" s="93" t="s">
        <v>36</v>
      </c>
      <c r="E30" s="93" t="s">
        <v>36</v>
      </c>
      <c r="F30" s="93" t="s">
        <v>36</v>
      </c>
      <c r="G30" s="138" t="s">
        <v>36</v>
      </c>
      <c r="H30" s="93" t="s">
        <v>36</v>
      </c>
      <c r="I30" s="58" t="s">
        <v>36</v>
      </c>
      <c r="J30" s="58" t="s">
        <v>36</v>
      </c>
      <c r="K30" s="139" t="s">
        <v>36</v>
      </c>
      <c r="L30" s="139"/>
      <c r="M30" s="139" t="s">
        <v>36</v>
      </c>
      <c r="N30" s="139" t="s">
        <v>36</v>
      </c>
      <c r="O30" s="139" t="s">
        <v>36</v>
      </c>
      <c r="P30" s="139" t="s">
        <v>36</v>
      </c>
    </row>
    <row r="31" s="59" customFormat="1" spans="1:16">
      <c r="A31" s="143" t="s">
        <v>41</v>
      </c>
      <c r="B31" s="143"/>
      <c r="C31" s="93" t="s">
        <v>35</v>
      </c>
      <c r="D31" s="93" t="s">
        <v>36</v>
      </c>
      <c r="E31" s="93" t="s">
        <v>36</v>
      </c>
      <c r="F31" s="93" t="s">
        <v>36</v>
      </c>
      <c r="G31" s="138" t="s">
        <v>36</v>
      </c>
      <c r="H31" s="93" t="s">
        <v>36</v>
      </c>
      <c r="I31" s="58" t="s">
        <v>36</v>
      </c>
      <c r="J31" s="58" t="s">
        <v>36</v>
      </c>
      <c r="K31" s="139" t="s">
        <v>36</v>
      </c>
      <c r="L31" s="139"/>
      <c r="M31" s="139" t="s">
        <v>36</v>
      </c>
      <c r="N31" s="139" t="s">
        <v>36</v>
      </c>
      <c r="O31" s="139" t="s">
        <v>36</v>
      </c>
      <c r="P31" s="139" t="s">
        <v>36</v>
      </c>
    </row>
    <row r="32" s="59" customFormat="1" spans="1:16">
      <c r="A32" s="93" t="s">
        <v>36</v>
      </c>
      <c r="B32" s="93"/>
      <c r="C32" s="93" t="s">
        <v>35</v>
      </c>
      <c r="D32" s="93" t="s">
        <v>36</v>
      </c>
      <c r="E32" s="93" t="s">
        <v>36</v>
      </c>
      <c r="F32" s="93" t="s">
        <v>36</v>
      </c>
      <c r="G32" s="138" t="s">
        <v>36</v>
      </c>
      <c r="H32" s="93" t="s">
        <v>36</v>
      </c>
      <c r="I32" s="58" t="s">
        <v>36</v>
      </c>
      <c r="J32" s="58" t="s">
        <v>36</v>
      </c>
      <c r="K32" s="139" t="s">
        <v>36</v>
      </c>
      <c r="L32" s="139"/>
      <c r="M32" s="139" t="s">
        <v>36</v>
      </c>
      <c r="N32" s="139" t="s">
        <v>36</v>
      </c>
      <c r="O32" s="139" t="s">
        <v>36</v>
      </c>
      <c r="P32" s="139" t="s">
        <v>36</v>
      </c>
    </row>
    <row r="33" s="59" customFormat="1" ht="168.75" spans="1:16">
      <c r="A33" s="93" t="s">
        <v>42</v>
      </c>
      <c r="B33" s="93"/>
      <c r="C33" s="144" t="s">
        <v>43</v>
      </c>
      <c r="D33" s="93" t="s">
        <v>44</v>
      </c>
      <c r="E33" s="93" t="s">
        <v>45</v>
      </c>
      <c r="F33" s="93" t="s">
        <v>46</v>
      </c>
      <c r="G33" s="138" t="s">
        <v>36</v>
      </c>
      <c r="H33" s="93" t="s">
        <v>36</v>
      </c>
      <c r="I33" s="58" t="s">
        <v>36</v>
      </c>
      <c r="J33" s="58" t="s">
        <v>36</v>
      </c>
      <c r="K33" s="139" t="s">
        <v>36</v>
      </c>
      <c r="L33" s="139"/>
      <c r="M33" s="139" t="s">
        <v>36</v>
      </c>
      <c r="N33" s="139" t="s">
        <v>36</v>
      </c>
      <c r="O33" s="139" t="s">
        <v>36</v>
      </c>
      <c r="P33" s="139" t="s">
        <v>36</v>
      </c>
    </row>
    <row r="34" s="59" customFormat="1" ht="168.75" spans="1:16">
      <c r="A34" s="93" t="s">
        <v>47</v>
      </c>
      <c r="B34" s="93"/>
      <c r="C34" s="145" t="s">
        <v>48</v>
      </c>
      <c r="D34" s="146" t="s">
        <v>49</v>
      </c>
      <c r="E34" s="146" t="s">
        <v>50</v>
      </c>
      <c r="F34" s="146" t="s">
        <v>51</v>
      </c>
      <c r="G34" s="138" t="s">
        <v>36</v>
      </c>
      <c r="H34" s="93" t="s">
        <v>36</v>
      </c>
      <c r="I34" s="58" t="s">
        <v>36</v>
      </c>
      <c r="J34" s="58" t="s">
        <v>36</v>
      </c>
      <c r="K34" s="139" t="s">
        <v>36</v>
      </c>
      <c r="L34" s="139"/>
      <c r="M34" s="139" t="s">
        <v>36</v>
      </c>
      <c r="N34" s="139" t="s">
        <v>36</v>
      </c>
      <c r="O34" s="139" t="s">
        <v>36</v>
      </c>
      <c r="P34" s="139" t="s">
        <v>36</v>
      </c>
    </row>
    <row r="35" s="59" customFormat="1" ht="244.75" spans="1:16">
      <c r="A35" s="63" t="s">
        <v>52</v>
      </c>
      <c r="B35" s="63"/>
      <c r="C35" s="147" t="s">
        <v>53</v>
      </c>
      <c r="D35" s="148" t="s">
        <v>54</v>
      </c>
      <c r="E35" s="148" t="s">
        <v>55</v>
      </c>
      <c r="F35" s="148" t="s">
        <v>55</v>
      </c>
      <c r="G35" s="138" t="s">
        <v>36</v>
      </c>
      <c r="H35" s="93" t="s">
        <v>36</v>
      </c>
      <c r="I35" s="58" t="s">
        <v>36</v>
      </c>
      <c r="J35" s="58" t="s">
        <v>36</v>
      </c>
      <c r="K35" s="139" t="s">
        <v>36</v>
      </c>
      <c r="L35" s="139"/>
      <c r="M35" s="139" t="s">
        <v>36</v>
      </c>
      <c r="N35" s="139" t="s">
        <v>36</v>
      </c>
      <c r="O35" s="139" t="s">
        <v>36</v>
      </c>
      <c r="P35" s="139" t="s">
        <v>36</v>
      </c>
    </row>
    <row r="36" s="59" customFormat="1" ht="244.75" spans="1:16">
      <c r="A36" s="93" t="s">
        <v>56</v>
      </c>
      <c r="B36" s="93"/>
      <c r="C36" s="149" t="s">
        <v>57</v>
      </c>
      <c r="D36" s="148" t="s">
        <v>54</v>
      </c>
      <c r="E36" s="148" t="s">
        <v>55</v>
      </c>
      <c r="F36" s="148" t="s">
        <v>55</v>
      </c>
      <c r="G36" s="138" t="s">
        <v>36</v>
      </c>
      <c r="H36" s="93" t="s">
        <v>36</v>
      </c>
      <c r="I36" s="58" t="s">
        <v>36</v>
      </c>
      <c r="J36" s="58" t="s">
        <v>36</v>
      </c>
      <c r="K36" s="139" t="s">
        <v>36</v>
      </c>
      <c r="L36" s="139"/>
      <c r="M36" s="139" t="s">
        <v>36</v>
      </c>
      <c r="N36" s="139" t="s">
        <v>36</v>
      </c>
      <c r="O36" s="139" t="s">
        <v>36</v>
      </c>
      <c r="P36" s="139" t="s">
        <v>36</v>
      </c>
    </row>
    <row r="37" s="59" customFormat="1" ht="46.75" spans="1:16">
      <c r="A37" s="150" t="s">
        <v>58</v>
      </c>
      <c r="B37" s="150"/>
      <c r="C37" s="149" t="s">
        <v>59</v>
      </c>
      <c r="D37" s="148" t="s">
        <v>60</v>
      </c>
      <c r="E37" s="148" t="s">
        <v>60</v>
      </c>
      <c r="F37" s="148" t="s">
        <v>60</v>
      </c>
      <c r="G37" s="138" t="s">
        <v>36</v>
      </c>
      <c r="H37" s="93" t="s">
        <v>36</v>
      </c>
      <c r="I37" s="58" t="s">
        <v>36</v>
      </c>
      <c r="J37" s="58" t="s">
        <v>36</v>
      </c>
      <c r="K37" s="139" t="s">
        <v>36</v>
      </c>
      <c r="L37" s="139"/>
      <c r="M37" s="139" t="s">
        <v>36</v>
      </c>
      <c r="N37" s="139" t="s">
        <v>36</v>
      </c>
      <c r="O37" s="139" t="s">
        <v>36</v>
      </c>
      <c r="P37" s="139" t="s">
        <v>36</v>
      </c>
    </row>
    <row r="38" s="59" customFormat="1" ht="68.75" spans="1:16">
      <c r="A38" s="151" t="s">
        <v>61</v>
      </c>
      <c r="B38" s="151"/>
      <c r="C38" s="149" t="s">
        <v>62</v>
      </c>
      <c r="D38" s="148">
        <v>9909495999</v>
      </c>
      <c r="E38" s="148">
        <v>9909495999</v>
      </c>
      <c r="F38" s="148">
        <v>9909495999</v>
      </c>
      <c r="G38" s="138" t="s">
        <v>36</v>
      </c>
      <c r="H38" s="93" t="s">
        <v>36</v>
      </c>
      <c r="I38" s="58" t="s">
        <v>36</v>
      </c>
      <c r="J38" s="58" t="s">
        <v>36</v>
      </c>
      <c r="K38" s="139" t="s">
        <v>36</v>
      </c>
      <c r="L38" s="139"/>
      <c r="M38" s="139" t="s">
        <v>36</v>
      </c>
      <c r="N38" s="139" t="s">
        <v>36</v>
      </c>
      <c r="O38" s="139" t="s">
        <v>36</v>
      </c>
      <c r="P38" s="139" t="s">
        <v>36</v>
      </c>
    </row>
    <row r="39" s="59" customFormat="1" ht="31.75" spans="1:16">
      <c r="A39" s="150" t="s">
        <v>63</v>
      </c>
      <c r="B39" s="150"/>
      <c r="C39" s="149" t="s">
        <v>64</v>
      </c>
      <c r="D39" s="148">
        <v>10180001920</v>
      </c>
      <c r="E39" s="148">
        <v>10180001920</v>
      </c>
      <c r="F39" s="148">
        <v>10180001920</v>
      </c>
      <c r="G39" s="138" t="s">
        <v>36</v>
      </c>
      <c r="H39" s="93" t="s">
        <v>36</v>
      </c>
      <c r="I39" s="58" t="s">
        <v>36</v>
      </c>
      <c r="J39" s="58" t="s">
        <v>36</v>
      </c>
      <c r="K39" s="139" t="s">
        <v>36</v>
      </c>
      <c r="L39" s="139"/>
      <c r="M39" s="139" t="s">
        <v>36</v>
      </c>
      <c r="N39" s="139" t="s">
        <v>36</v>
      </c>
      <c r="O39" s="139" t="s">
        <v>36</v>
      </c>
      <c r="P39" s="139" t="s">
        <v>36</v>
      </c>
    </row>
    <row r="40" s="59" customFormat="1" ht="18.75" spans="1:16">
      <c r="A40" s="150" t="s">
        <v>65</v>
      </c>
      <c r="B40" s="150"/>
      <c r="C40" s="149" t="s">
        <v>66</v>
      </c>
      <c r="D40" s="148">
        <v>28741784</v>
      </c>
      <c r="E40" s="148">
        <v>28741784</v>
      </c>
      <c r="F40" s="148">
        <v>28741784</v>
      </c>
      <c r="G40" s="138" t="s">
        <v>36</v>
      </c>
      <c r="H40" s="93" t="s">
        <v>36</v>
      </c>
      <c r="I40" s="58" t="s">
        <v>36</v>
      </c>
      <c r="J40" s="58" t="s">
        <v>36</v>
      </c>
      <c r="K40" s="139" t="s">
        <v>36</v>
      </c>
      <c r="L40" s="139"/>
      <c r="M40" s="139" t="s">
        <v>36</v>
      </c>
      <c r="N40" s="139" t="s">
        <v>36</v>
      </c>
      <c r="O40" s="139" t="s">
        <v>36</v>
      </c>
      <c r="P40" s="139" t="s">
        <v>36</v>
      </c>
    </row>
    <row r="41" s="59" customFormat="1" ht="31.75" spans="1:16">
      <c r="A41" s="150" t="s">
        <v>67</v>
      </c>
      <c r="B41" s="150"/>
      <c r="C41" s="149" t="s">
        <v>68</v>
      </c>
      <c r="D41" s="148">
        <v>774791001</v>
      </c>
      <c r="E41" s="148">
        <v>774791001</v>
      </c>
      <c r="F41" s="148">
        <v>774791001</v>
      </c>
      <c r="G41" s="138" t="s">
        <v>36</v>
      </c>
      <c r="H41" s="93" t="s">
        <v>36</v>
      </c>
      <c r="I41" s="58" t="s">
        <v>36</v>
      </c>
      <c r="J41" s="58" t="s">
        <v>36</v>
      </c>
      <c r="K41" s="139" t="s">
        <v>36</v>
      </c>
      <c r="L41" s="139"/>
      <c r="M41" s="139" t="s">
        <v>36</v>
      </c>
      <c r="N41" s="139" t="s">
        <v>36</v>
      </c>
      <c r="O41" s="139" t="s">
        <v>36</v>
      </c>
      <c r="P41" s="139" t="s">
        <v>36</v>
      </c>
    </row>
    <row r="42" s="59" customFormat="1" spans="1:16">
      <c r="A42" s="93" t="s">
        <v>36</v>
      </c>
      <c r="B42" s="93"/>
      <c r="C42" s="93" t="s">
        <v>36</v>
      </c>
      <c r="D42" s="93" t="s">
        <v>36</v>
      </c>
      <c r="E42" s="93" t="s">
        <v>36</v>
      </c>
      <c r="F42" s="93" t="s">
        <v>36</v>
      </c>
      <c r="G42" s="138" t="s">
        <v>36</v>
      </c>
      <c r="H42" s="93" t="s">
        <v>36</v>
      </c>
      <c r="I42" s="58" t="s">
        <v>36</v>
      </c>
      <c r="J42" s="58" t="s">
        <v>36</v>
      </c>
      <c r="K42" s="139" t="s">
        <v>36</v>
      </c>
      <c r="L42" s="139"/>
      <c r="M42" s="139" t="s">
        <v>36</v>
      </c>
      <c r="N42" s="139" t="s">
        <v>36</v>
      </c>
      <c r="O42" s="139" t="s">
        <v>36</v>
      </c>
      <c r="P42" s="139" t="s">
        <v>36</v>
      </c>
    </row>
  </sheetData>
  <mergeCells count="41">
    <mergeCell ref="A6:F6"/>
    <mergeCell ref="G6:I6"/>
    <mergeCell ref="A11:F11"/>
    <mergeCell ref="G11:I11"/>
    <mergeCell ref="A15:F15"/>
    <mergeCell ref="G15:I15"/>
    <mergeCell ref="A22:F22"/>
    <mergeCell ref="G22:I22"/>
    <mergeCell ref="N25:O25"/>
    <mergeCell ref="A2:A5"/>
    <mergeCell ref="A7:A10"/>
    <mergeCell ref="A12:A14"/>
    <mergeCell ref="A19:A21"/>
    <mergeCell ref="B2:B5"/>
    <mergeCell ref="B7:B10"/>
    <mergeCell ref="B12:B14"/>
    <mergeCell ref="B19:B21"/>
    <mergeCell ref="C2:C5"/>
    <mergeCell ref="C7:C10"/>
    <mergeCell ref="C12:C14"/>
    <mergeCell ref="C19:C21"/>
    <mergeCell ref="D2:D5"/>
    <mergeCell ref="D7:D10"/>
    <mergeCell ref="D12:D14"/>
    <mergeCell ref="D19:D21"/>
    <mergeCell ref="E2:E5"/>
    <mergeCell ref="E7:E10"/>
    <mergeCell ref="E12:E14"/>
    <mergeCell ref="E19:E21"/>
    <mergeCell ref="F2:F5"/>
    <mergeCell ref="F7:F10"/>
    <mergeCell ref="F12:F14"/>
    <mergeCell ref="F19:F21"/>
    <mergeCell ref="G2:G5"/>
    <mergeCell ref="G7:G10"/>
    <mergeCell ref="G12:G14"/>
    <mergeCell ref="G19:G21"/>
    <mergeCell ref="H2:H3"/>
    <mergeCell ref="H7:H8"/>
    <mergeCell ref="I2:I3"/>
    <mergeCell ref="I7:I8"/>
  </mergeCells>
  <pageMargins left="0.0784722222222222" right="0.0784722222222222" top="0.354166666666667" bottom="0.0784722222222222" header="0.298611111111111" footer="0.298611111111111"/>
  <pageSetup paperSize="9" scale="5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4"/>
  <sheetViews>
    <sheetView showGridLines="0" workbookViewId="0">
      <pane ySplit="1" topLeftCell="A30" activePane="bottomLeft" state="frozen"/>
      <selection/>
      <selection pane="bottomLeft" activeCell="A1" sqref="$A1:$XFD1048576"/>
    </sheetView>
  </sheetViews>
  <sheetFormatPr defaultColWidth="9" defaultRowHeight="16.8" outlineLevelCol="7"/>
  <cols>
    <col min="1" max="1" width="29.0673076923077" style="61" customWidth="1"/>
    <col min="2" max="2" width="16.25" style="62" customWidth="1"/>
    <col min="3" max="3" width="12.6923076923077" style="62" customWidth="1"/>
    <col min="4" max="4" width="18.7692307692308" style="61" customWidth="1"/>
    <col min="5" max="5" width="20.2307692307692" style="63" customWidth="1"/>
    <col min="6" max="6" width="9" style="59"/>
    <col min="7" max="7" width="14.5384615384615" style="64"/>
    <col min="8" max="8" width="12.3076923076923" style="64"/>
    <col min="9" max="16384" width="9" style="59"/>
  </cols>
  <sheetData>
    <row r="1" s="58" customFormat="1" ht="21" spans="1:8">
      <c r="A1" s="65" t="s">
        <v>69</v>
      </c>
      <c r="B1" s="65" t="s">
        <v>70</v>
      </c>
      <c r="C1" s="65" t="s">
        <v>71</v>
      </c>
      <c r="D1" s="65" t="s">
        <v>72</v>
      </c>
      <c r="E1" s="63"/>
      <c r="G1" s="63"/>
      <c r="H1" s="63"/>
    </row>
    <row r="2" s="59" customFormat="1" ht="17" spans="1:8">
      <c r="A2" s="66" t="s">
        <v>73</v>
      </c>
      <c r="B2" s="67" t="s">
        <v>18</v>
      </c>
      <c r="C2" s="67" t="s">
        <v>18</v>
      </c>
      <c r="D2" s="66">
        <v>22651708.32</v>
      </c>
      <c r="E2" s="63"/>
      <c r="G2" s="64"/>
      <c r="H2" s="64"/>
    </row>
    <row r="3" s="59" customFormat="1" ht="17" spans="1:8">
      <c r="A3" s="66" t="s">
        <v>74</v>
      </c>
      <c r="B3" s="67" t="s">
        <v>18</v>
      </c>
      <c r="C3" s="67" t="s">
        <v>18</v>
      </c>
      <c r="D3" s="66">
        <v>23108687.14</v>
      </c>
      <c r="E3" s="63"/>
      <c r="G3" s="64"/>
      <c r="H3" s="64"/>
    </row>
    <row r="4" s="59" customFormat="1" ht="17" spans="1:8">
      <c r="A4" s="66" t="s">
        <v>73</v>
      </c>
      <c r="B4" s="67" t="s">
        <v>18</v>
      </c>
      <c r="C4" s="67" t="s">
        <v>18</v>
      </c>
      <c r="D4" s="66">
        <v>22497309.84</v>
      </c>
      <c r="E4" s="63"/>
      <c r="G4" s="64"/>
      <c r="H4" s="64"/>
    </row>
    <row r="5" s="59" customFormat="1" ht="17" spans="1:8">
      <c r="A5" s="66" t="s">
        <v>74</v>
      </c>
      <c r="B5" s="67" t="s">
        <v>18</v>
      </c>
      <c r="C5" s="67" t="s">
        <v>18</v>
      </c>
      <c r="D5" s="66">
        <v>22951173.81</v>
      </c>
      <c r="E5" s="63"/>
      <c r="G5" s="64"/>
      <c r="H5" s="64"/>
    </row>
    <row r="6" s="59" customFormat="1" ht="17" spans="1:8">
      <c r="A6" s="66" t="s">
        <v>75</v>
      </c>
      <c r="B6" s="67" t="s">
        <v>18</v>
      </c>
      <c r="C6" s="67" t="s">
        <v>18</v>
      </c>
      <c r="D6" s="66">
        <v>122700000</v>
      </c>
      <c r="E6" s="67" t="s">
        <v>76</v>
      </c>
      <c r="G6" s="64"/>
      <c r="H6" s="64"/>
    </row>
    <row r="7" s="59" customFormat="1" ht="17" spans="1:8">
      <c r="A7" s="66" t="s">
        <v>77</v>
      </c>
      <c r="B7" s="67" t="s">
        <v>18</v>
      </c>
      <c r="C7" s="67" t="s">
        <v>18</v>
      </c>
      <c r="D7" s="66">
        <v>117118593.93</v>
      </c>
      <c r="E7" s="63"/>
      <c r="G7" s="64"/>
      <c r="H7" s="64"/>
    </row>
    <row r="8" s="59" customFormat="1" spans="1:8">
      <c r="A8" s="67" t="s">
        <v>18</v>
      </c>
      <c r="B8" s="67" t="s">
        <v>18</v>
      </c>
      <c r="C8" s="67" t="s">
        <v>18</v>
      </c>
      <c r="D8" s="67" t="s">
        <v>18</v>
      </c>
      <c r="E8" s="63"/>
      <c r="G8" s="64"/>
      <c r="H8" s="64"/>
    </row>
    <row r="9" s="59" customFormat="1" ht="17" spans="1:8">
      <c r="A9" s="68" t="s">
        <v>78</v>
      </c>
      <c r="B9" s="68">
        <v>45819360.65</v>
      </c>
      <c r="C9" s="69" t="s">
        <v>18</v>
      </c>
      <c r="D9" s="69" t="s">
        <v>18</v>
      </c>
      <c r="E9" s="63"/>
      <c r="G9" s="64"/>
      <c r="H9" s="64"/>
    </row>
    <row r="10" s="59" customFormat="1" ht="17" spans="1:8">
      <c r="A10" s="66" t="s">
        <v>79</v>
      </c>
      <c r="B10" s="66">
        <v>-5000000</v>
      </c>
      <c r="C10" s="70">
        <v>11.06</v>
      </c>
      <c r="D10" s="66">
        <v>55300000</v>
      </c>
      <c r="E10" s="63"/>
      <c r="G10" s="64"/>
      <c r="H10" s="64"/>
    </row>
    <row r="11" s="59" customFormat="1" ht="17" spans="1:8">
      <c r="A11" s="66" t="s">
        <v>80</v>
      </c>
      <c r="B11" s="66">
        <v>-10000000</v>
      </c>
      <c r="C11" s="67" t="s">
        <v>18</v>
      </c>
      <c r="D11" s="67" t="s">
        <v>18</v>
      </c>
      <c r="E11" s="63"/>
      <c r="G11" s="64"/>
      <c r="H11" s="64"/>
    </row>
    <row r="12" s="59" customFormat="1" ht="17" spans="1:8">
      <c r="A12" s="66" t="s">
        <v>81</v>
      </c>
      <c r="B12" s="66">
        <v>-123287.67</v>
      </c>
      <c r="C12" s="67" t="s">
        <v>18</v>
      </c>
      <c r="D12" s="67" t="s">
        <v>18</v>
      </c>
      <c r="E12" s="63"/>
      <c r="G12" s="64"/>
      <c r="H12" s="64"/>
    </row>
    <row r="13" s="59" customFormat="1" ht="17" spans="1:8">
      <c r="A13" s="66" t="s">
        <v>82</v>
      </c>
      <c r="B13" s="66">
        <v>-2000000</v>
      </c>
      <c r="C13" s="70">
        <v>11.0565</v>
      </c>
      <c r="D13" s="66">
        <v>22113000</v>
      </c>
      <c r="E13" s="63"/>
      <c r="G13" s="64"/>
      <c r="H13" s="64"/>
    </row>
    <row r="14" s="59" customFormat="1" ht="17" spans="1:8">
      <c r="A14" s="66" t="s">
        <v>83</v>
      </c>
      <c r="B14" s="66">
        <v>-15000000</v>
      </c>
      <c r="C14" s="70">
        <v>10.87</v>
      </c>
      <c r="D14" s="66">
        <v>163050000</v>
      </c>
      <c r="E14" s="63"/>
      <c r="G14" s="64"/>
      <c r="H14" s="64"/>
    </row>
    <row r="15" s="59" customFormat="1" ht="17" spans="1:8">
      <c r="A15" s="66" t="s">
        <v>84</v>
      </c>
      <c r="B15" s="66">
        <v>-6000000</v>
      </c>
      <c r="C15" s="70">
        <v>10.84</v>
      </c>
      <c r="D15" s="66">
        <v>65040000</v>
      </c>
      <c r="E15" s="63"/>
      <c r="G15" s="64"/>
      <c r="H15" s="64"/>
    </row>
    <row r="16" s="59" customFormat="1" ht="17" spans="1:8">
      <c r="A16" s="68" t="s">
        <v>85</v>
      </c>
      <c r="B16" s="68">
        <v>42145778.99</v>
      </c>
      <c r="C16" s="69" t="s">
        <v>18</v>
      </c>
      <c r="D16" s="69" t="s">
        <v>18</v>
      </c>
      <c r="E16" s="63"/>
      <c r="G16" s="64"/>
      <c r="H16" s="64"/>
    </row>
    <row r="17" s="59" customFormat="1" ht="17.75" spans="1:8">
      <c r="A17" s="71" t="s">
        <v>86</v>
      </c>
      <c r="B17" s="71">
        <v>-10000000</v>
      </c>
      <c r="C17" s="72">
        <v>10.832</v>
      </c>
      <c r="D17" s="71">
        <v>108320000</v>
      </c>
      <c r="E17" s="63"/>
      <c r="G17" s="64"/>
      <c r="H17" s="64"/>
    </row>
    <row r="18" s="60" customFormat="1" ht="17" spans="1:8">
      <c r="A18" s="73" t="s">
        <v>87</v>
      </c>
      <c r="B18" s="74">
        <v>-1000000</v>
      </c>
      <c r="C18" s="75">
        <v>10.745</v>
      </c>
      <c r="D18" s="76">
        <f t="shared" ref="D18:D29" si="0">-B18*C18</f>
        <v>10745000</v>
      </c>
      <c r="E18" s="77"/>
      <c r="G18" s="78"/>
      <c r="H18" s="78"/>
    </row>
    <row r="19" s="60" customFormat="1" ht="17" spans="1:8">
      <c r="A19" s="79" t="s">
        <v>87</v>
      </c>
      <c r="B19" s="80">
        <v>-9000000</v>
      </c>
      <c r="C19" s="81">
        <v>10.753</v>
      </c>
      <c r="D19" s="82">
        <f t="shared" si="0"/>
        <v>96777000</v>
      </c>
      <c r="E19" s="77"/>
      <c r="G19" s="78"/>
      <c r="H19" s="78"/>
    </row>
    <row r="20" s="60" customFormat="1" ht="17.75" spans="1:8">
      <c r="A20" s="83" t="s">
        <v>88</v>
      </c>
      <c r="B20" s="84">
        <v>-3000000</v>
      </c>
      <c r="C20" s="85">
        <v>11.0825</v>
      </c>
      <c r="D20" s="86">
        <f t="shared" si="0"/>
        <v>33247500</v>
      </c>
      <c r="E20" s="77"/>
      <c r="G20" s="78"/>
      <c r="H20" s="78"/>
    </row>
    <row r="21" s="59" customFormat="1" ht="17" spans="1:8">
      <c r="A21" s="87" t="s">
        <v>89</v>
      </c>
      <c r="B21" s="87">
        <v>-2000000</v>
      </c>
      <c r="C21" s="88">
        <v>10.9575</v>
      </c>
      <c r="D21" s="87">
        <f t="shared" si="0"/>
        <v>21915000</v>
      </c>
      <c r="E21" s="63"/>
      <c r="G21" s="64"/>
      <c r="H21" s="64"/>
    </row>
    <row r="22" s="59" customFormat="1" ht="17" spans="1:8">
      <c r="A22" s="66" t="s">
        <v>90</v>
      </c>
      <c r="B22" s="66">
        <v>-3000000</v>
      </c>
      <c r="C22" s="70">
        <v>11.019</v>
      </c>
      <c r="D22" s="66">
        <f t="shared" si="0"/>
        <v>33057000</v>
      </c>
      <c r="E22" s="63"/>
      <c r="G22" s="64"/>
      <c r="H22" s="64"/>
    </row>
    <row r="23" s="59" customFormat="1" ht="17" spans="1:8">
      <c r="A23" s="66" t="s">
        <v>91</v>
      </c>
      <c r="B23" s="66">
        <v>-5000000</v>
      </c>
      <c r="C23" s="70">
        <v>11.007</v>
      </c>
      <c r="D23" s="66">
        <f t="shared" si="0"/>
        <v>55035000</v>
      </c>
      <c r="E23" s="63"/>
      <c r="G23" s="64"/>
      <c r="H23" s="64"/>
    </row>
    <row r="24" s="59" customFormat="1" ht="17" spans="1:8">
      <c r="A24" s="66" t="s">
        <v>92</v>
      </c>
      <c r="B24" s="66">
        <v>-1000000</v>
      </c>
      <c r="C24" s="70">
        <v>11.106</v>
      </c>
      <c r="D24" s="66">
        <f t="shared" si="0"/>
        <v>11106000</v>
      </c>
      <c r="E24" s="63"/>
      <c r="G24" s="64"/>
      <c r="H24" s="64"/>
    </row>
    <row r="25" s="59" customFormat="1" ht="17" spans="1:8">
      <c r="A25" s="66" t="s">
        <v>93</v>
      </c>
      <c r="B25" s="66">
        <v>-1000000</v>
      </c>
      <c r="C25" s="70">
        <v>11.102</v>
      </c>
      <c r="D25" s="66">
        <f t="shared" si="0"/>
        <v>11102000</v>
      </c>
      <c r="E25" s="63"/>
      <c r="G25" s="64"/>
      <c r="H25" s="64"/>
    </row>
    <row r="26" s="59" customFormat="1" ht="17" spans="1:8">
      <c r="A26" s="66" t="s">
        <v>94</v>
      </c>
      <c r="B26" s="66">
        <v>-3000000</v>
      </c>
      <c r="C26" s="70">
        <v>11.188</v>
      </c>
      <c r="D26" s="66">
        <f t="shared" si="0"/>
        <v>33564000</v>
      </c>
      <c r="E26" s="63"/>
      <c r="G26" s="64"/>
      <c r="H26" s="64"/>
    </row>
    <row r="27" s="59" customFormat="1" ht="17" spans="1:8">
      <c r="A27" s="66" t="s">
        <v>95</v>
      </c>
      <c r="B27" s="66">
        <v>-5000000</v>
      </c>
      <c r="C27" s="70">
        <v>11.1755</v>
      </c>
      <c r="D27" s="66">
        <f t="shared" si="0"/>
        <v>55877500</v>
      </c>
      <c r="E27" s="63"/>
      <c r="G27" s="64"/>
      <c r="H27" s="64"/>
    </row>
    <row r="28" s="59" customFormat="1" ht="17" spans="1:8">
      <c r="A28" s="66" t="s">
        <v>96</v>
      </c>
      <c r="B28" s="66">
        <v>-3000000</v>
      </c>
      <c r="C28" s="70">
        <v>11.201</v>
      </c>
      <c r="D28" s="66">
        <f t="shared" si="0"/>
        <v>33603000</v>
      </c>
      <c r="E28" s="63"/>
      <c r="G28" s="64"/>
      <c r="H28" s="64"/>
    </row>
    <row r="29" s="59" customFormat="1" ht="17" spans="1:8">
      <c r="A29" s="66" t="s">
        <v>97</v>
      </c>
      <c r="B29" s="66">
        <v>-3800000</v>
      </c>
      <c r="C29" s="70">
        <v>11.415</v>
      </c>
      <c r="D29" s="66">
        <f t="shared" si="0"/>
        <v>43377000</v>
      </c>
      <c r="E29" s="63"/>
      <c r="G29" s="64"/>
      <c r="H29" s="64"/>
    </row>
    <row r="30" s="59" customFormat="1" ht="17" spans="1:8">
      <c r="A30" s="89" t="s">
        <v>98</v>
      </c>
      <c r="B30" s="68">
        <v>4142262.59</v>
      </c>
      <c r="C30" s="69" t="s">
        <v>18</v>
      </c>
      <c r="D30" s="69" t="s">
        <v>18</v>
      </c>
      <c r="E30" s="63"/>
      <c r="G30" s="64"/>
      <c r="H30" s="64"/>
    </row>
    <row r="31" s="59" customFormat="1" ht="17" spans="1:8">
      <c r="A31" s="66" t="s">
        <v>99</v>
      </c>
      <c r="B31" s="66">
        <v>-4180000</v>
      </c>
      <c r="C31" s="70">
        <v>11.59</v>
      </c>
      <c r="D31" s="66">
        <f t="shared" ref="D31:D35" si="1">-B31*C31</f>
        <v>48446200</v>
      </c>
      <c r="E31" s="63"/>
      <c r="G31" s="64"/>
      <c r="H31" s="64"/>
    </row>
    <row r="32" s="59" customFormat="1" ht="17" spans="1:8">
      <c r="A32" s="68" t="s">
        <v>100</v>
      </c>
      <c r="B32" s="68">
        <v>15000000</v>
      </c>
      <c r="C32" s="69" t="s">
        <v>18</v>
      </c>
      <c r="D32" s="69" t="s">
        <v>18</v>
      </c>
      <c r="E32" s="63"/>
      <c r="G32" s="64"/>
      <c r="H32" s="64"/>
    </row>
    <row r="33" s="59" customFormat="1" ht="17" spans="1:8">
      <c r="A33" s="66" t="s">
        <v>101</v>
      </c>
      <c r="B33" s="66">
        <v>-7000000</v>
      </c>
      <c r="C33" s="70">
        <v>11.567</v>
      </c>
      <c r="D33" s="66">
        <f t="shared" si="1"/>
        <v>80969000</v>
      </c>
      <c r="E33" s="63"/>
      <c r="G33" s="64"/>
      <c r="H33" s="64"/>
    </row>
    <row r="34" s="59" customFormat="1" ht="17" spans="1:8">
      <c r="A34" s="90" t="s">
        <v>102</v>
      </c>
      <c r="B34" s="66">
        <v>-6000000</v>
      </c>
      <c r="C34" s="70">
        <v>11.233</v>
      </c>
      <c r="D34" s="66">
        <f t="shared" si="1"/>
        <v>67398000</v>
      </c>
      <c r="E34" s="63"/>
      <c r="G34" s="64"/>
      <c r="H34" s="64"/>
    </row>
    <row r="35" s="59" customFormat="1" ht="17" spans="1:8">
      <c r="A35" s="90" t="s">
        <v>103</v>
      </c>
      <c r="B35" s="66">
        <v>-2000000</v>
      </c>
      <c r="C35" s="70">
        <v>10.8455</v>
      </c>
      <c r="D35" s="66">
        <f t="shared" si="1"/>
        <v>21691000</v>
      </c>
      <c r="E35" s="63"/>
      <c r="G35" s="64"/>
      <c r="H35" s="64"/>
    </row>
    <row r="36" s="59" customFormat="1" ht="17" spans="1:8">
      <c r="A36" s="89" t="s">
        <v>104</v>
      </c>
      <c r="B36" s="68">
        <v>4140942.82</v>
      </c>
      <c r="C36" s="69" t="s">
        <v>18</v>
      </c>
      <c r="D36" s="91" t="s">
        <v>18</v>
      </c>
      <c r="E36" s="92">
        <f>B36+B37</f>
        <v>5000000</v>
      </c>
      <c r="G36" s="64"/>
      <c r="H36" s="64"/>
    </row>
    <row r="37" s="59" customFormat="1" ht="17" spans="1:8">
      <c r="A37" s="89" t="s">
        <v>105</v>
      </c>
      <c r="B37" s="68">
        <v>859057.18</v>
      </c>
      <c r="C37" s="69" t="s">
        <v>18</v>
      </c>
      <c r="D37" s="91" t="s">
        <v>18</v>
      </c>
      <c r="E37" s="92"/>
      <c r="G37" s="64"/>
      <c r="H37" s="64"/>
    </row>
    <row r="38" s="59" customFormat="1" ht="17" spans="1:8">
      <c r="A38" s="90" t="s">
        <v>106</v>
      </c>
      <c r="B38" s="66">
        <v>-4000000</v>
      </c>
      <c r="C38" s="70">
        <v>11.3405</v>
      </c>
      <c r="D38" s="66">
        <f t="shared" ref="D38:D41" si="2">-B38*C38</f>
        <v>45362000</v>
      </c>
      <c r="E38" s="63"/>
      <c r="F38" s="59">
        <v>0.0888</v>
      </c>
      <c r="G38" s="64">
        <f t="shared" ref="G38:G41" si="3">D38*F38</f>
        <v>4028145.6</v>
      </c>
      <c r="H38" s="64">
        <f t="shared" ref="H38:H41" si="4">B38+G38</f>
        <v>28145.6000000001</v>
      </c>
    </row>
    <row r="39" s="59" customFormat="1" ht="17" spans="1:8">
      <c r="A39" s="90" t="s">
        <v>107</v>
      </c>
      <c r="B39" s="66">
        <v>-1000000</v>
      </c>
      <c r="C39" s="70">
        <v>11.023</v>
      </c>
      <c r="D39" s="66">
        <f t="shared" si="2"/>
        <v>11023000</v>
      </c>
      <c r="E39" s="63"/>
      <c r="F39" s="59">
        <v>0.0888</v>
      </c>
      <c r="G39" s="64">
        <f t="shared" si="3"/>
        <v>978842.4</v>
      </c>
      <c r="H39" s="64">
        <f t="shared" si="4"/>
        <v>-21157.6</v>
      </c>
    </row>
    <row r="40" s="59" customFormat="1" ht="17" spans="1:8">
      <c r="A40" s="89" t="s">
        <v>108</v>
      </c>
      <c r="B40" s="68">
        <v>5514983.4</v>
      </c>
      <c r="C40" s="69" t="s">
        <v>18</v>
      </c>
      <c r="D40" s="69" t="s">
        <v>18</v>
      </c>
      <c r="E40" s="63"/>
      <c r="G40" s="64"/>
      <c r="H40" s="64"/>
    </row>
    <row r="41" s="59" customFormat="1" ht="17" spans="1:8">
      <c r="A41" s="90" t="s">
        <v>109</v>
      </c>
      <c r="B41" s="66">
        <v>-3000000</v>
      </c>
      <c r="C41" s="70">
        <v>11.0565</v>
      </c>
      <c r="D41" s="66">
        <f t="shared" si="2"/>
        <v>33169500</v>
      </c>
      <c r="E41" s="63"/>
      <c r="F41" s="59">
        <v>0.0888</v>
      </c>
      <c r="G41" s="64">
        <f t="shared" si="3"/>
        <v>2945451.6</v>
      </c>
      <c r="H41" s="64">
        <f t="shared" si="4"/>
        <v>-54548.3999999999</v>
      </c>
    </row>
    <row r="42" s="59" customFormat="1" spans="1:8">
      <c r="A42" s="89" t="s">
        <v>110</v>
      </c>
      <c r="B42" s="68">
        <v>2897179.57</v>
      </c>
      <c r="C42" s="69" t="s">
        <v>18</v>
      </c>
      <c r="D42" s="69" t="s">
        <v>18</v>
      </c>
      <c r="E42" s="63"/>
      <c r="G42" s="64"/>
      <c r="H42" s="64"/>
    </row>
    <row r="43" s="59" customFormat="1" ht="17" spans="1:8">
      <c r="A43" s="89" t="s">
        <v>111</v>
      </c>
      <c r="B43" s="68">
        <v>4590311.14</v>
      </c>
      <c r="C43" s="69" t="s">
        <v>18</v>
      </c>
      <c r="D43" s="69" t="s">
        <v>18</v>
      </c>
      <c r="E43" s="63"/>
      <c r="G43" s="64"/>
      <c r="H43" s="64"/>
    </row>
    <row r="44" s="59" customFormat="1" ht="17" spans="1:8">
      <c r="A44" s="90" t="s">
        <v>112</v>
      </c>
      <c r="B44" s="66">
        <v>-5000000</v>
      </c>
      <c r="C44" s="70">
        <v>11.24</v>
      </c>
      <c r="D44" s="66">
        <f t="shared" ref="D44:D48" si="5">-B44*C44</f>
        <v>56200000</v>
      </c>
      <c r="E44" s="63"/>
      <c r="G44" s="64"/>
      <c r="H44" s="64"/>
    </row>
    <row r="45" s="59" customFormat="1" ht="17" spans="1:8">
      <c r="A45" s="90" t="s">
        <v>113</v>
      </c>
      <c r="B45" s="66">
        <v>-5000000</v>
      </c>
      <c r="C45" s="70">
        <v>11.237</v>
      </c>
      <c r="D45" s="66">
        <f t="shared" si="5"/>
        <v>56185000</v>
      </c>
      <c r="E45" s="63"/>
      <c r="G45" s="64"/>
      <c r="H45" s="64"/>
    </row>
    <row r="46" s="59" customFormat="1" ht="17" spans="1:8">
      <c r="A46" s="89" t="s">
        <v>114</v>
      </c>
      <c r="B46" s="68">
        <v>3620821.52</v>
      </c>
      <c r="C46" s="69" t="s">
        <v>18</v>
      </c>
      <c r="D46" s="69" t="s">
        <v>18</v>
      </c>
      <c r="E46" s="63"/>
      <c r="G46" s="64"/>
      <c r="H46" s="64"/>
    </row>
    <row r="47" s="59" customFormat="1" ht="17" spans="1:8">
      <c r="A47" s="89" t="s">
        <v>114</v>
      </c>
      <c r="B47" s="68">
        <v>6621137.8</v>
      </c>
      <c r="C47" s="69" t="s">
        <v>18</v>
      </c>
      <c r="D47" s="69" t="s">
        <v>18</v>
      </c>
      <c r="E47" s="63"/>
      <c r="G47" s="64"/>
      <c r="H47" s="64"/>
    </row>
    <row r="48" s="59" customFormat="1" ht="17" spans="1:8">
      <c r="A48" s="90" t="s">
        <v>115</v>
      </c>
      <c r="B48" s="66">
        <v>-5000000</v>
      </c>
      <c r="C48" s="70">
        <v>11.06</v>
      </c>
      <c r="D48" s="66">
        <f t="shared" si="5"/>
        <v>55300000</v>
      </c>
      <c r="E48" s="63"/>
      <c r="G48" s="64"/>
      <c r="H48" s="64"/>
    </row>
    <row r="49" s="59" customFormat="1" ht="17" spans="1:8">
      <c r="A49" s="89" t="s">
        <v>116</v>
      </c>
      <c r="B49" s="68">
        <v>195041418.28</v>
      </c>
      <c r="C49" s="69" t="s">
        <v>18</v>
      </c>
      <c r="D49" s="69" t="s">
        <v>18</v>
      </c>
      <c r="E49" s="63"/>
      <c r="G49" s="64"/>
      <c r="H49" s="64"/>
    </row>
    <row r="50" s="59" customFormat="1" spans="1:8">
      <c r="A50" s="66"/>
      <c r="B50" s="66"/>
      <c r="C50" s="70"/>
      <c r="D50" s="66"/>
      <c r="E50" s="63"/>
      <c r="G50" s="64"/>
      <c r="H50" s="64">
        <f>SUM(H1:H41)</f>
        <v>-47560.3999999998</v>
      </c>
    </row>
    <row r="51" s="59" customFormat="1" spans="1:8">
      <c r="A51" s="93" t="s">
        <v>18</v>
      </c>
      <c r="B51" s="94">
        <f>SUM(B9:B50)</f>
        <v>200289966.27</v>
      </c>
      <c r="C51" s="93" t="s">
        <v>18</v>
      </c>
      <c r="D51" s="64">
        <f>SUM(D2:D50)</f>
        <v>1660000173.04</v>
      </c>
      <c r="E51" s="63"/>
      <c r="G51" s="64"/>
      <c r="H51" s="64"/>
    </row>
    <row r="53" s="59" customFormat="1" spans="1:8">
      <c r="A53" s="61"/>
      <c r="B53" s="62">
        <f>B9+B16+B30+B32</f>
        <v>107107402.23</v>
      </c>
      <c r="C53" s="95">
        <f>ROUND(D53/B53,4)</f>
        <v>10.0062</v>
      </c>
      <c r="D53" s="62">
        <f>D10+D13+D14+D15+D17+D18+D19+D20+D21+D22+D23+D24+D25+D26+D27+D28+D29+D31+D33+D34+D35</f>
        <v>1071733200</v>
      </c>
      <c r="E53" s="63"/>
      <c r="G53" s="64"/>
      <c r="H53" s="64"/>
    </row>
    <row r="54" s="59" customFormat="1" spans="1:8">
      <c r="A54" s="61"/>
      <c r="B54" s="62"/>
      <c r="C54" s="96">
        <f>ROUND(B53/D53,6)</f>
        <v>0.099938</v>
      </c>
      <c r="D54" s="61"/>
      <c r="E54" s="63"/>
      <c r="G54" s="64"/>
      <c r="H54" s="64"/>
    </row>
  </sheetData>
  <mergeCells count="1">
    <mergeCell ref="E36:E37"/>
  </mergeCells>
  <pageMargins left="0.0784722222222222" right="0.0784722222222222" top="0.354166666666667" bottom="0.0784722222222222" header="0.298611111111111" footer="0.298611111111111"/>
  <pageSetup paperSize="9" scale="5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showGridLines="0" tabSelected="1" zoomScale="90" zoomScaleNormal="90" workbookViewId="0">
      <pane ySplit="1" topLeftCell="A2" activePane="bottomLeft" state="frozen"/>
      <selection/>
      <selection pane="bottomLeft" activeCell="M1" sqref="$A1:$XFD1048576"/>
    </sheetView>
  </sheetViews>
  <sheetFormatPr defaultColWidth="9" defaultRowHeight="16.8"/>
  <cols>
    <col min="1" max="1" width="18.875" style="1" customWidth="1"/>
    <col min="2" max="2" width="15.7692307692308" style="40" customWidth="1"/>
    <col min="3" max="3" width="9.23076923076923" style="40" customWidth="1"/>
    <col min="4" max="4" width="17" style="41" customWidth="1"/>
    <col min="5" max="5" width="5.69230769230769" style="41" customWidth="1"/>
    <col min="6" max="6" width="17" style="40" customWidth="1"/>
    <col min="7" max="7" width="17.6153846153846" style="40" customWidth="1"/>
    <col min="8" max="8" width="17" style="39"/>
    <col min="9" max="9" width="9.23076923076923" style="39" customWidth="1"/>
    <col min="10" max="10" width="17" style="39" customWidth="1"/>
    <col min="11" max="11" width="14.6153846153846" style="39" customWidth="1"/>
    <col min="12" max="12" width="16.2307692307692" style="39" customWidth="1"/>
    <col min="13" max="13" width="14.6153846153846" style="39" customWidth="1"/>
    <col min="14" max="14" width="9.23076923076923" style="39" customWidth="1"/>
    <col min="15" max="15" width="14.6153846153846" style="39" customWidth="1"/>
    <col min="16" max="16" width="5.69230769230769" style="41" customWidth="1"/>
    <col min="17" max="17" width="15.7692307692308" style="39" customWidth="1"/>
    <col min="18" max="18" width="35.4230769230769" style="39" customWidth="1"/>
    <col min="19" max="19" width="15.7692307692308" style="39" customWidth="1"/>
    <col min="20" max="20" width="10.3076923076923" style="39" customWidth="1"/>
    <col min="21" max="21" width="8.15384615384615" style="39" customWidth="1"/>
    <col min="22" max="22" width="15.7692307692308" style="39" customWidth="1"/>
    <col min="23" max="16384" width="9" style="39"/>
  </cols>
  <sheetData>
    <row r="1" s="38" customFormat="1" ht="41" spans="1:22">
      <c r="A1" s="42" t="s">
        <v>117</v>
      </c>
      <c r="B1" s="42" t="s">
        <v>118</v>
      </c>
      <c r="C1" s="42" t="s">
        <v>119</v>
      </c>
      <c r="D1" s="42" t="s">
        <v>120</v>
      </c>
      <c r="E1" s="43" t="s">
        <v>121</v>
      </c>
      <c r="F1" s="42" t="s">
        <v>122</v>
      </c>
      <c r="G1" s="42" t="s">
        <v>123</v>
      </c>
      <c r="H1" s="42" t="s">
        <v>124</v>
      </c>
      <c r="I1" s="42" t="s">
        <v>125</v>
      </c>
      <c r="J1" s="42" t="s">
        <v>126</v>
      </c>
      <c r="K1" s="42" t="s">
        <v>127</v>
      </c>
      <c r="L1" s="42" t="s">
        <v>123</v>
      </c>
      <c r="M1" s="42" t="s">
        <v>128</v>
      </c>
      <c r="N1" s="42" t="s">
        <v>125</v>
      </c>
      <c r="O1" s="42" t="s">
        <v>129</v>
      </c>
      <c r="P1" s="43" t="s">
        <v>130</v>
      </c>
      <c r="Q1" s="42" t="s">
        <v>131</v>
      </c>
      <c r="R1" s="42" t="s">
        <v>132</v>
      </c>
      <c r="S1" s="44" t="s">
        <v>133</v>
      </c>
      <c r="T1" s="42" t="s">
        <v>134</v>
      </c>
      <c r="U1" s="42" t="s">
        <v>135</v>
      </c>
      <c r="V1" s="42" t="s">
        <v>136</v>
      </c>
    </row>
    <row r="2" s="39" customFormat="1" ht="51" spans="1:22">
      <c r="A2" s="45" t="s">
        <v>137</v>
      </c>
      <c r="B2" s="46">
        <v>3342932</v>
      </c>
      <c r="C2" s="47">
        <v>13.6887</v>
      </c>
      <c r="D2" s="48">
        <v>22651708.32</v>
      </c>
      <c r="E2" s="43" t="s">
        <v>121</v>
      </c>
      <c r="F2" s="49">
        <v>22651708.32</v>
      </c>
      <c r="G2" s="49" t="s">
        <v>138</v>
      </c>
      <c r="H2" s="49">
        <f t="shared" ref="H2:H6" si="0">ROUND(F2/1.2,2)</f>
        <v>18876423.6</v>
      </c>
      <c r="I2" s="50">
        <v>0.2</v>
      </c>
      <c r="J2" s="49">
        <f t="shared" ref="J2:J6" si="1">ROUND(H2*I2,2)</f>
        <v>3775284.72</v>
      </c>
      <c r="K2" s="51" t="s">
        <v>18</v>
      </c>
      <c r="L2" s="51" t="s">
        <v>18</v>
      </c>
      <c r="M2" s="51" t="s">
        <v>18</v>
      </c>
      <c r="N2" s="51" t="s">
        <v>18</v>
      </c>
      <c r="O2" s="51" t="s">
        <v>18</v>
      </c>
      <c r="P2" s="43" t="s">
        <v>130</v>
      </c>
      <c r="Q2" s="52">
        <f>7368263.71</f>
        <v>7368263.71</v>
      </c>
      <c r="R2" s="53" t="s">
        <v>139</v>
      </c>
      <c r="S2" s="54">
        <v>7833217</v>
      </c>
      <c r="T2" s="54" t="s">
        <v>140</v>
      </c>
      <c r="U2" s="55" t="s">
        <v>141</v>
      </c>
      <c r="V2" s="52">
        <v>2611072.33</v>
      </c>
    </row>
    <row r="3" s="39" customFormat="1" ht="33" customHeight="1" spans="1:22">
      <c r="A3" s="45" t="s">
        <v>18</v>
      </c>
      <c r="B3" s="46" t="s">
        <v>18</v>
      </c>
      <c r="C3" s="46" t="s">
        <v>18</v>
      </c>
      <c r="D3" s="48">
        <v>23108687.14</v>
      </c>
      <c r="E3" s="43" t="s">
        <v>121</v>
      </c>
      <c r="F3" s="49">
        <v>23108687.14</v>
      </c>
      <c r="G3" s="49" t="s">
        <v>142</v>
      </c>
      <c r="H3" s="49">
        <f t="shared" si="0"/>
        <v>19257239.28</v>
      </c>
      <c r="I3" s="50">
        <v>0.2</v>
      </c>
      <c r="J3" s="49">
        <f t="shared" si="1"/>
        <v>3851447.86</v>
      </c>
      <c r="K3" s="51" t="s">
        <v>18</v>
      </c>
      <c r="L3" s="51" t="s">
        <v>18</v>
      </c>
      <c r="M3" s="51" t="s">
        <v>18</v>
      </c>
      <c r="N3" s="51" t="s">
        <v>18</v>
      </c>
      <c r="O3" s="51" t="s">
        <v>18</v>
      </c>
      <c r="P3" s="43" t="s">
        <v>130</v>
      </c>
      <c r="Q3" s="52" t="s">
        <v>18</v>
      </c>
      <c r="R3" s="52" t="s">
        <v>18</v>
      </c>
      <c r="S3" s="52" t="s">
        <v>18</v>
      </c>
      <c r="T3" s="52" t="s">
        <v>18</v>
      </c>
      <c r="U3" s="56" t="s">
        <v>143</v>
      </c>
      <c r="V3" s="52">
        <v>2611072.33</v>
      </c>
    </row>
    <row r="4" s="39" customFormat="1" ht="33" customHeight="1" spans="1:22">
      <c r="A4" s="45" t="s">
        <v>144</v>
      </c>
      <c r="B4" s="46">
        <v>3320146</v>
      </c>
      <c r="C4" s="47">
        <v>13.6887</v>
      </c>
      <c r="D4" s="48">
        <v>22497309.84</v>
      </c>
      <c r="E4" s="43" t="s">
        <v>121</v>
      </c>
      <c r="F4" s="49">
        <v>22497309.84</v>
      </c>
      <c r="G4" s="49" t="s">
        <v>138</v>
      </c>
      <c r="H4" s="49">
        <f t="shared" si="0"/>
        <v>18747758.2</v>
      </c>
      <c r="I4" s="50">
        <v>0.2</v>
      </c>
      <c r="J4" s="49">
        <f t="shared" si="1"/>
        <v>3749551.64</v>
      </c>
      <c r="K4" s="51" t="s">
        <v>18</v>
      </c>
      <c r="L4" s="51" t="s">
        <v>18</v>
      </c>
      <c r="M4" s="51" t="s">
        <v>18</v>
      </c>
      <c r="N4" s="51" t="s">
        <v>18</v>
      </c>
      <c r="O4" s="51" t="s">
        <v>18</v>
      </c>
      <c r="P4" s="43" t="s">
        <v>130</v>
      </c>
      <c r="Q4" s="52" t="s">
        <v>18</v>
      </c>
      <c r="R4" s="52" t="s">
        <v>18</v>
      </c>
      <c r="S4" s="52" t="s">
        <v>18</v>
      </c>
      <c r="T4" s="52" t="s">
        <v>18</v>
      </c>
      <c r="U4" s="55" t="s">
        <v>145</v>
      </c>
      <c r="V4" s="52">
        <v>2611072.33</v>
      </c>
    </row>
    <row r="5" s="39" customFormat="1" ht="33" customHeight="1" spans="1:22">
      <c r="A5" s="45" t="s">
        <v>18</v>
      </c>
      <c r="B5" s="46" t="s">
        <v>18</v>
      </c>
      <c r="C5" s="46" t="s">
        <v>18</v>
      </c>
      <c r="D5" s="48">
        <v>22951173.81</v>
      </c>
      <c r="E5" s="43" t="s">
        <v>121</v>
      </c>
      <c r="F5" s="49">
        <v>22951173.81</v>
      </c>
      <c r="G5" s="49" t="s">
        <v>142</v>
      </c>
      <c r="H5" s="49">
        <f t="shared" si="0"/>
        <v>19125978.18</v>
      </c>
      <c r="I5" s="50">
        <v>0.2</v>
      </c>
      <c r="J5" s="49">
        <f t="shared" si="1"/>
        <v>3825195.64</v>
      </c>
      <c r="K5" s="51" t="s">
        <v>18</v>
      </c>
      <c r="L5" s="51" t="s">
        <v>18</v>
      </c>
      <c r="M5" s="51" t="s">
        <v>18</v>
      </c>
      <c r="N5" s="51" t="s">
        <v>18</v>
      </c>
      <c r="O5" s="51" t="s">
        <v>18</v>
      </c>
      <c r="P5" s="43" t="s">
        <v>130</v>
      </c>
      <c r="Q5" s="52" t="s">
        <v>18</v>
      </c>
      <c r="R5" s="52" t="s">
        <v>18</v>
      </c>
      <c r="S5" s="52" t="s">
        <v>18</v>
      </c>
      <c r="T5" s="52" t="s">
        <v>18</v>
      </c>
      <c r="U5" s="52" t="s">
        <v>18</v>
      </c>
      <c r="V5" s="52" t="s">
        <v>18</v>
      </c>
    </row>
    <row r="6" s="39" customFormat="1" ht="33" customHeight="1" spans="1:22">
      <c r="A6" s="45" t="s">
        <v>146</v>
      </c>
      <c r="B6" s="46">
        <v>9530204.89</v>
      </c>
      <c r="C6" s="47">
        <v>12.2892</v>
      </c>
      <c r="D6" s="48">
        <v>117118593.93</v>
      </c>
      <c r="E6" s="43" t="s">
        <v>121</v>
      </c>
      <c r="F6" s="49">
        <v>117118593.93</v>
      </c>
      <c r="G6" s="49" t="s">
        <v>147</v>
      </c>
      <c r="H6" s="49">
        <f t="shared" si="0"/>
        <v>97598828.28</v>
      </c>
      <c r="I6" s="50">
        <v>0.2</v>
      </c>
      <c r="J6" s="49">
        <f t="shared" si="1"/>
        <v>19519765.66</v>
      </c>
      <c r="K6" s="51" t="s">
        <v>18</v>
      </c>
      <c r="L6" s="51" t="s">
        <v>18</v>
      </c>
      <c r="M6" s="51" t="s">
        <v>18</v>
      </c>
      <c r="N6" s="51" t="s">
        <v>18</v>
      </c>
      <c r="O6" s="51" t="s">
        <v>18</v>
      </c>
      <c r="P6" s="43" t="s">
        <v>130</v>
      </c>
      <c r="Q6" s="52" t="s">
        <v>18</v>
      </c>
      <c r="R6" s="52" t="s">
        <v>18</v>
      </c>
      <c r="S6" s="52" t="s">
        <v>18</v>
      </c>
      <c r="T6" s="52" t="s">
        <v>18</v>
      </c>
      <c r="U6" s="52" t="s">
        <v>18</v>
      </c>
      <c r="V6" s="52" t="s">
        <v>18</v>
      </c>
    </row>
    <row r="7" s="39" customFormat="1" ht="33" customHeight="1" spans="1:22">
      <c r="A7" s="45" t="s">
        <v>148</v>
      </c>
      <c r="B7" s="46">
        <v>4142262.59</v>
      </c>
      <c r="C7" s="46" t="s">
        <v>18</v>
      </c>
      <c r="D7" s="46" t="s">
        <v>18</v>
      </c>
      <c r="E7" s="43" t="s">
        <v>121</v>
      </c>
      <c r="F7" s="51" t="s">
        <v>18</v>
      </c>
      <c r="G7" s="51" t="s">
        <v>18</v>
      </c>
      <c r="H7" s="51" t="s">
        <v>18</v>
      </c>
      <c r="I7" s="51" t="s">
        <v>18</v>
      </c>
      <c r="J7" s="51" t="s">
        <v>18</v>
      </c>
      <c r="K7" s="49">
        <v>4142262.59</v>
      </c>
      <c r="L7" s="49" t="s">
        <v>149</v>
      </c>
      <c r="M7" s="49">
        <v>6276155.44</v>
      </c>
      <c r="N7" s="50">
        <v>0.2</v>
      </c>
      <c r="O7" s="49">
        <v>1255231.09</v>
      </c>
      <c r="P7" s="43" t="s">
        <v>130</v>
      </c>
      <c r="Q7" s="52" t="s">
        <v>18</v>
      </c>
      <c r="R7" s="52" t="s">
        <v>18</v>
      </c>
      <c r="S7" s="52" t="s">
        <v>18</v>
      </c>
      <c r="T7" s="52" t="s">
        <v>18</v>
      </c>
      <c r="U7" s="52" t="s">
        <v>18</v>
      </c>
      <c r="V7" s="52" t="s">
        <v>18</v>
      </c>
    </row>
    <row r="8" s="39" customFormat="1" ht="94" customHeight="1" spans="1:22">
      <c r="A8" s="45" t="s">
        <v>28</v>
      </c>
      <c r="B8" s="48">
        <v>5000000</v>
      </c>
      <c r="C8" s="47">
        <f>F8/B8</f>
        <v>11.1915</v>
      </c>
      <c r="D8" s="46" t="s">
        <v>18</v>
      </c>
      <c r="E8" s="43" t="s">
        <v>121</v>
      </c>
      <c r="F8" s="49">
        <v>55957500</v>
      </c>
      <c r="G8" s="49" t="s">
        <v>150</v>
      </c>
      <c r="H8" s="49">
        <f t="shared" ref="H8:H13" si="2">ROUND(F8/1.2,2)</f>
        <v>46631250</v>
      </c>
      <c r="I8" s="50">
        <v>0.2</v>
      </c>
      <c r="J8" s="49">
        <f>ROUND(H8*I8,2)</f>
        <v>9326250</v>
      </c>
      <c r="K8" s="51" t="s">
        <v>18</v>
      </c>
      <c r="L8" s="51" t="s">
        <v>18</v>
      </c>
      <c r="M8" s="51" t="s">
        <v>18</v>
      </c>
      <c r="N8" s="51" t="s">
        <v>18</v>
      </c>
      <c r="O8" s="51" t="s">
        <v>18</v>
      </c>
      <c r="P8" s="43" t="s">
        <v>130</v>
      </c>
      <c r="Q8" s="52">
        <v>20561546.48</v>
      </c>
      <c r="R8" s="53" t="s">
        <v>151</v>
      </c>
      <c r="S8" s="52">
        <v>1809568</v>
      </c>
      <c r="T8" s="52" t="s">
        <v>152</v>
      </c>
      <c r="U8" s="56" t="s">
        <v>153</v>
      </c>
      <c r="V8" s="52">
        <v>603190</v>
      </c>
    </row>
    <row r="9" s="39" customFormat="1" ht="33" customHeight="1" spans="1:22">
      <c r="A9" s="45" t="s">
        <v>28</v>
      </c>
      <c r="B9" s="48">
        <v>40819360.65</v>
      </c>
      <c r="C9" s="47">
        <f>ROUND(F9/B9,4)</f>
        <v>11.0889</v>
      </c>
      <c r="D9" s="46" t="s">
        <v>18</v>
      </c>
      <c r="E9" s="43" t="s">
        <v>121</v>
      </c>
      <c r="F9" s="49">
        <v>452641808.31</v>
      </c>
      <c r="G9" s="49" t="s">
        <v>154</v>
      </c>
      <c r="H9" s="49">
        <f t="shared" si="2"/>
        <v>377201506.93</v>
      </c>
      <c r="I9" s="50">
        <v>0.2</v>
      </c>
      <c r="J9" s="49">
        <f>ROUND(H9*I9,2)</f>
        <v>75440301.39</v>
      </c>
      <c r="K9" s="51" t="s">
        <v>18</v>
      </c>
      <c r="L9" s="51" t="s">
        <v>18</v>
      </c>
      <c r="M9" s="51" t="s">
        <v>18</v>
      </c>
      <c r="N9" s="51" t="s">
        <v>18</v>
      </c>
      <c r="O9" s="51" t="s">
        <v>18</v>
      </c>
      <c r="P9" s="43" t="s">
        <v>130</v>
      </c>
      <c r="Q9" s="52" t="s">
        <v>18</v>
      </c>
      <c r="R9" s="52" t="s">
        <v>18</v>
      </c>
      <c r="S9" s="52" t="s">
        <v>18</v>
      </c>
      <c r="T9" s="52" t="s">
        <v>18</v>
      </c>
      <c r="U9" s="56" t="s">
        <v>155</v>
      </c>
      <c r="V9" s="52">
        <v>603190</v>
      </c>
    </row>
    <row r="10" s="39" customFormat="1" ht="33" customHeight="1" spans="1:22">
      <c r="A10" s="45" t="s">
        <v>30</v>
      </c>
      <c r="B10" s="48">
        <v>42145778.99</v>
      </c>
      <c r="C10" s="47">
        <v>10.8728</v>
      </c>
      <c r="D10" s="46" t="s">
        <v>18</v>
      </c>
      <c r="E10" s="43" t="s">
        <v>121</v>
      </c>
      <c r="F10" s="49">
        <v>458242625.8</v>
      </c>
      <c r="G10" s="49" t="s">
        <v>156</v>
      </c>
      <c r="H10" s="49">
        <f t="shared" si="2"/>
        <v>381868854.83</v>
      </c>
      <c r="I10" s="50">
        <v>0.2</v>
      </c>
      <c r="J10" s="49">
        <v>76373770.97</v>
      </c>
      <c r="K10" s="51" t="s">
        <v>18</v>
      </c>
      <c r="L10" s="51" t="s">
        <v>18</v>
      </c>
      <c r="M10" s="51" t="s">
        <v>18</v>
      </c>
      <c r="N10" s="51" t="s">
        <v>18</v>
      </c>
      <c r="O10" s="51" t="s">
        <v>18</v>
      </c>
      <c r="P10" s="43" t="s">
        <v>130</v>
      </c>
      <c r="Q10" s="52" t="s">
        <v>18</v>
      </c>
      <c r="R10" s="52" t="s">
        <v>18</v>
      </c>
      <c r="S10" s="52" t="s">
        <v>18</v>
      </c>
      <c r="T10" s="52" t="s">
        <v>18</v>
      </c>
      <c r="U10" s="56" t="s">
        <v>157</v>
      </c>
      <c r="V10" s="52">
        <v>603188</v>
      </c>
    </row>
    <row r="11" s="39" customFormat="1" ht="51" spans="1:22">
      <c r="A11" s="45" t="s">
        <v>18</v>
      </c>
      <c r="B11" s="46" t="s">
        <v>18</v>
      </c>
      <c r="C11" s="46" t="s">
        <v>18</v>
      </c>
      <c r="D11" s="46" t="s">
        <v>18</v>
      </c>
      <c r="E11" s="43" t="s">
        <v>121</v>
      </c>
      <c r="F11" s="51">
        <v>7531386.53</v>
      </c>
      <c r="G11" s="51" t="s">
        <v>18</v>
      </c>
      <c r="H11" s="49">
        <f t="shared" si="2"/>
        <v>6276155.44</v>
      </c>
      <c r="I11" s="50">
        <v>0.2</v>
      </c>
      <c r="J11" s="49">
        <f t="shared" ref="J11:J13" si="3">F11-H11</f>
        <v>1255231.09</v>
      </c>
      <c r="K11" s="51" t="s">
        <v>18</v>
      </c>
      <c r="L11" s="51" t="s">
        <v>18</v>
      </c>
      <c r="M11" s="51" t="s">
        <v>18</v>
      </c>
      <c r="N11" s="51" t="s">
        <v>18</v>
      </c>
      <c r="O11" s="51" t="s">
        <v>18</v>
      </c>
      <c r="P11" s="43" t="s">
        <v>130</v>
      </c>
      <c r="Q11" s="52"/>
      <c r="R11" s="53" t="s">
        <v>158</v>
      </c>
      <c r="S11" s="52">
        <f>109546611.1+198450</f>
        <v>109745061.1</v>
      </c>
      <c r="T11" s="52" t="s">
        <v>159</v>
      </c>
      <c r="U11" s="56" t="s">
        <v>160</v>
      </c>
      <c r="V11" s="52">
        <v>36515537</v>
      </c>
    </row>
    <row r="12" s="39" customFormat="1" ht="33" customHeight="1" spans="1:22">
      <c r="A12" s="45" t="s">
        <v>18</v>
      </c>
      <c r="B12" s="46" t="s">
        <v>18</v>
      </c>
      <c r="C12" s="46" t="s">
        <v>18</v>
      </c>
      <c r="D12" s="46" t="s">
        <v>18</v>
      </c>
      <c r="E12" s="43" t="s">
        <v>121</v>
      </c>
      <c r="F12" s="51">
        <v>4140942.82</v>
      </c>
      <c r="G12" s="51" t="s">
        <v>18</v>
      </c>
      <c r="H12" s="49">
        <f t="shared" si="2"/>
        <v>3450785.68</v>
      </c>
      <c r="I12" s="50">
        <v>0.2</v>
      </c>
      <c r="J12" s="49">
        <f t="shared" si="3"/>
        <v>690157.14</v>
      </c>
      <c r="K12" s="51" t="s">
        <v>18</v>
      </c>
      <c r="L12" s="51" t="s">
        <v>18</v>
      </c>
      <c r="M12" s="51" t="s">
        <v>18</v>
      </c>
      <c r="N12" s="51" t="s">
        <v>18</v>
      </c>
      <c r="O12" s="51" t="s">
        <v>18</v>
      </c>
      <c r="P12" s="43" t="s">
        <v>130</v>
      </c>
      <c r="Q12" s="52" t="s">
        <v>18</v>
      </c>
      <c r="R12" s="52" t="s">
        <v>18</v>
      </c>
      <c r="S12" s="52" t="s">
        <v>18</v>
      </c>
      <c r="T12" s="52" t="s">
        <v>18</v>
      </c>
      <c r="U12" s="56" t="s">
        <v>161</v>
      </c>
      <c r="V12" s="52">
        <v>36647837</v>
      </c>
    </row>
    <row r="13" s="39" customFormat="1" ht="33" customHeight="1" spans="1:22">
      <c r="A13" s="45" t="s">
        <v>18</v>
      </c>
      <c r="B13" s="46" t="s">
        <v>18</v>
      </c>
      <c r="C13" s="46" t="s">
        <v>18</v>
      </c>
      <c r="D13" s="46" t="s">
        <v>18</v>
      </c>
      <c r="E13" s="43" t="s">
        <v>121</v>
      </c>
      <c r="F13" s="51">
        <v>6374040.58</v>
      </c>
      <c r="G13" s="51" t="s">
        <v>18</v>
      </c>
      <c r="H13" s="49">
        <f t="shared" si="2"/>
        <v>5311700.48</v>
      </c>
      <c r="I13" s="50">
        <v>0.2</v>
      </c>
      <c r="J13" s="49">
        <f t="shared" si="3"/>
        <v>1062340.1</v>
      </c>
      <c r="K13" s="51" t="s">
        <v>18</v>
      </c>
      <c r="L13" s="51" t="s">
        <v>18</v>
      </c>
      <c r="M13" s="51" t="s">
        <v>18</v>
      </c>
      <c r="N13" s="51" t="s">
        <v>18</v>
      </c>
      <c r="O13" s="51" t="s">
        <v>18</v>
      </c>
      <c r="P13" s="43" t="s">
        <v>130</v>
      </c>
      <c r="Q13" s="52" t="s">
        <v>18</v>
      </c>
      <c r="R13" s="52" t="s">
        <v>18</v>
      </c>
      <c r="S13" s="52" t="s">
        <v>18</v>
      </c>
      <c r="T13" s="52" t="s">
        <v>18</v>
      </c>
      <c r="U13" s="56" t="s">
        <v>162</v>
      </c>
      <c r="V13" s="52">
        <v>36581687</v>
      </c>
    </row>
    <row r="14" s="39" customFormat="1" ht="33" customHeight="1" spans="1:22">
      <c r="A14" s="45" t="s">
        <v>18</v>
      </c>
      <c r="B14" s="46" t="s">
        <v>18</v>
      </c>
      <c r="C14" s="46" t="s">
        <v>18</v>
      </c>
      <c r="D14" s="46" t="s">
        <v>18</v>
      </c>
      <c r="E14" s="43" t="s">
        <v>121</v>
      </c>
      <c r="F14" s="51" t="s">
        <v>18</v>
      </c>
      <c r="G14" s="51" t="s">
        <v>18</v>
      </c>
      <c r="H14" s="51" t="s">
        <v>18</v>
      </c>
      <c r="I14" s="51" t="s">
        <v>18</v>
      </c>
      <c r="J14" s="51" t="s">
        <v>18</v>
      </c>
      <c r="K14" s="51" t="s">
        <v>18</v>
      </c>
      <c r="L14" s="51" t="s">
        <v>18</v>
      </c>
      <c r="M14" s="51" t="s">
        <v>18</v>
      </c>
      <c r="N14" s="51" t="s">
        <v>18</v>
      </c>
      <c r="O14" s="51" t="s">
        <v>18</v>
      </c>
      <c r="P14" s="43" t="s">
        <v>130</v>
      </c>
      <c r="Q14" s="52" t="s">
        <v>18</v>
      </c>
      <c r="R14" s="52" t="s">
        <v>18</v>
      </c>
      <c r="S14" s="52" t="s">
        <v>18</v>
      </c>
      <c r="T14" s="52" t="s">
        <v>18</v>
      </c>
      <c r="U14" s="52" t="s">
        <v>18</v>
      </c>
      <c r="V14" s="52" t="s">
        <v>18</v>
      </c>
    </row>
    <row r="15" s="39" customFormat="1" spans="1:22">
      <c r="A15" s="1" t="s">
        <v>163</v>
      </c>
      <c r="B15" s="57">
        <f t="shared" ref="B15:F15" si="4">SUM(B2:B14)</f>
        <v>108300685.12</v>
      </c>
      <c r="C15" s="1" t="s">
        <v>18</v>
      </c>
      <c r="D15" s="57">
        <f t="shared" si="4"/>
        <v>208327473.04</v>
      </c>
      <c r="E15" s="1" t="s">
        <v>121</v>
      </c>
      <c r="F15" s="57">
        <f t="shared" si="4"/>
        <v>1193215777.08</v>
      </c>
      <c r="G15" s="1" t="s">
        <v>18</v>
      </c>
      <c r="H15" s="57">
        <f t="shared" ref="H15:K15" si="5">SUM(H2:H14)</f>
        <v>994346480.9</v>
      </c>
      <c r="I15" s="1" t="s">
        <v>18</v>
      </c>
      <c r="J15" s="57">
        <f t="shared" si="5"/>
        <v>198869296.21</v>
      </c>
      <c r="K15" s="57">
        <f t="shared" si="5"/>
        <v>4142262.59</v>
      </c>
      <c r="L15" s="1" t="s">
        <v>18</v>
      </c>
      <c r="M15" s="57">
        <f t="shared" ref="M15:Q15" si="6">SUM(M2:M14)</f>
        <v>6276155.44</v>
      </c>
      <c r="N15" s="1" t="s">
        <v>18</v>
      </c>
      <c r="O15" s="57">
        <f t="shared" si="6"/>
        <v>1255231.09</v>
      </c>
      <c r="P15" s="1" t="s">
        <v>130</v>
      </c>
      <c r="Q15" s="57">
        <f t="shared" si="6"/>
        <v>27929810.19</v>
      </c>
      <c r="R15" s="1" t="s">
        <v>18</v>
      </c>
      <c r="S15" s="57">
        <f>SUM(S2:S14)</f>
        <v>119387846.1</v>
      </c>
      <c r="T15" s="1" t="s">
        <v>18</v>
      </c>
      <c r="U15" s="1" t="s">
        <v>18</v>
      </c>
      <c r="V15" s="57">
        <f>SUM(V2:V14)</f>
        <v>119387845.99</v>
      </c>
    </row>
    <row r="17" s="39" customFormat="1" spans="1:17">
      <c r="A17" s="1"/>
      <c r="B17" s="40"/>
      <c r="C17" s="40"/>
      <c r="D17" s="41"/>
      <c r="E17" s="41"/>
      <c r="F17" s="40"/>
      <c r="G17" s="40"/>
      <c r="P17" s="41"/>
      <c r="Q17" s="57">
        <v>990438.19</v>
      </c>
    </row>
    <row r="18" s="39" customFormat="1" spans="1:17">
      <c r="A18" s="1"/>
      <c r="B18" s="40"/>
      <c r="C18" s="40"/>
      <c r="D18" s="41"/>
      <c r="E18" s="41"/>
      <c r="F18" s="40"/>
      <c r="G18" s="40"/>
      <c r="P18" s="41"/>
      <c r="Q18" s="57">
        <v>17614384.09</v>
      </c>
    </row>
    <row r="19" s="39" customFormat="1" spans="1:17">
      <c r="A19" s="1"/>
      <c r="B19" s="40"/>
      <c r="C19" s="40"/>
      <c r="D19" s="41"/>
      <c r="E19" s="41"/>
      <c r="F19" s="40"/>
      <c r="G19" s="40"/>
      <c r="P19" s="41"/>
      <c r="Q19" s="57">
        <v>1956724.2</v>
      </c>
    </row>
    <row r="21" s="39" customFormat="1" spans="1:17">
      <c r="A21" s="1"/>
      <c r="B21" s="40"/>
      <c r="C21" s="40"/>
      <c r="D21" s="41"/>
      <c r="E21" s="41"/>
      <c r="F21" s="40"/>
      <c r="G21" s="40"/>
      <c r="P21" s="41"/>
      <c r="Q21" s="57">
        <f>Q15-Q17-Q18-Q19-Q20</f>
        <v>7368263.71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"/>
  <sheetViews>
    <sheetView showGridLines="0" workbookViewId="0">
      <selection activeCell="J19" sqref="J19"/>
    </sheetView>
  </sheetViews>
  <sheetFormatPr defaultColWidth="8.88461538461539" defaultRowHeight="11.45" customHeight="1" outlineLevelCol="6"/>
  <cols>
    <col min="1" max="1" width="29.6153846153846" style="12" customWidth="1"/>
    <col min="2" max="7" width="15.7980769230769" style="12" customWidth="1"/>
    <col min="8" max="16384" width="8.88461538461539" style="11"/>
  </cols>
  <sheetData>
    <row r="1" s="11" customFormat="1" ht="26" customHeight="1" spans="1:7">
      <c r="A1" s="13" t="s">
        <v>164</v>
      </c>
      <c r="B1" s="13"/>
      <c r="C1" s="13"/>
      <c r="D1" s="13"/>
      <c r="E1" s="13"/>
      <c r="F1" s="13"/>
      <c r="G1" s="13"/>
    </row>
    <row r="2" s="11" customFormat="1" ht="16" customHeight="1" spans="1:7">
      <c r="A2" s="14" t="s">
        <v>165</v>
      </c>
      <c r="B2" s="15"/>
      <c r="C2" s="15"/>
      <c r="D2" s="15"/>
      <c r="E2" s="12"/>
      <c r="F2" s="12"/>
      <c r="G2" s="12"/>
    </row>
    <row r="3" s="12" customFormat="1" ht="2" customHeight="1"/>
    <row r="4" s="11" customFormat="1" ht="11" customHeight="1" spans="1:7">
      <c r="A4" s="16" t="s">
        <v>166</v>
      </c>
      <c r="B4" s="17"/>
      <c r="C4" s="18"/>
      <c r="D4" s="18"/>
      <c r="E4" s="18"/>
      <c r="F4" s="18"/>
      <c r="G4" s="18"/>
    </row>
    <row r="5" s="12" customFormat="1" ht="2" customHeight="1" spans="1:7">
      <c r="A5" s="16"/>
      <c r="B5" s="16"/>
      <c r="C5" s="15"/>
      <c r="D5" s="15"/>
      <c r="E5" s="15"/>
      <c r="F5" s="15"/>
      <c r="G5" s="15"/>
    </row>
    <row r="6" s="11" customFormat="1" ht="13" customHeight="1" spans="1:7">
      <c r="A6" s="19" t="s">
        <v>167</v>
      </c>
      <c r="B6" s="20" t="s">
        <v>168</v>
      </c>
      <c r="C6" s="20"/>
      <c r="D6" s="20" t="s">
        <v>169</v>
      </c>
      <c r="E6" s="20"/>
      <c r="F6" s="20" t="s">
        <v>170</v>
      </c>
      <c r="G6" s="20"/>
    </row>
    <row r="7" s="11" customFormat="1" ht="13" customHeight="1" spans="1:7">
      <c r="A7" s="19" t="s">
        <v>171</v>
      </c>
      <c r="B7" s="21" t="s">
        <v>172</v>
      </c>
      <c r="C7" s="21" t="s">
        <v>173</v>
      </c>
      <c r="D7" s="21" t="s">
        <v>172</v>
      </c>
      <c r="E7" s="21" t="s">
        <v>173</v>
      </c>
      <c r="F7" s="21" t="s">
        <v>172</v>
      </c>
      <c r="G7" s="21" t="s">
        <v>173</v>
      </c>
    </row>
    <row r="8" s="11" customFormat="1" ht="13" customHeight="1" spans="1:7">
      <c r="A8" s="19" t="s">
        <v>174</v>
      </c>
      <c r="B8" s="22"/>
      <c r="C8" s="22"/>
      <c r="D8" s="22"/>
      <c r="E8" s="22"/>
      <c r="F8" s="22"/>
      <c r="G8" s="22"/>
    </row>
    <row r="9" s="11" customFormat="1" ht="13" customHeight="1" spans="1:7">
      <c r="A9" s="23" t="s">
        <v>175</v>
      </c>
      <c r="B9" s="24">
        <v>55211.53</v>
      </c>
      <c r="C9" s="25"/>
      <c r="D9" s="24">
        <v>5249802.53</v>
      </c>
      <c r="E9" s="24">
        <v>4584774.56</v>
      </c>
      <c r="F9" s="24">
        <v>720239.5</v>
      </c>
      <c r="G9" s="25"/>
    </row>
    <row r="10" s="11" customFormat="1" ht="13" customHeight="1" outlineLevel="1" spans="1:7">
      <c r="A10" s="26" t="s">
        <v>176</v>
      </c>
      <c r="B10" s="25"/>
      <c r="C10" s="25"/>
      <c r="D10" s="24">
        <v>700030</v>
      </c>
      <c r="E10" s="24">
        <v>165030</v>
      </c>
      <c r="F10" s="24">
        <v>535000</v>
      </c>
      <c r="G10" s="25"/>
    </row>
    <row r="11" s="11" customFormat="1" ht="12" customHeight="1" outlineLevel="2" spans="1:7">
      <c r="A11" s="27" t="s">
        <v>177</v>
      </c>
      <c r="B11" s="28"/>
      <c r="C11" s="28"/>
      <c r="D11" s="29">
        <v>535000</v>
      </c>
      <c r="E11" s="28"/>
      <c r="F11" s="29">
        <v>535000</v>
      </c>
      <c r="G11" s="28"/>
    </row>
    <row r="12" s="11" customFormat="1" ht="37" customHeight="1" outlineLevel="3" spans="1:7">
      <c r="A12" s="30" t="s">
        <v>178</v>
      </c>
      <c r="B12" s="31"/>
      <c r="C12" s="31"/>
      <c r="D12" s="32">
        <v>535000</v>
      </c>
      <c r="E12" s="31"/>
      <c r="F12" s="32">
        <v>535000</v>
      </c>
      <c r="G12" s="31"/>
    </row>
    <row r="13" s="11" customFormat="1" ht="12" customHeight="1" outlineLevel="2" spans="1:7">
      <c r="A13" s="27" t="s">
        <v>179</v>
      </c>
      <c r="B13" s="28"/>
      <c r="C13" s="28"/>
      <c r="D13" s="29">
        <v>165030</v>
      </c>
      <c r="E13" s="29">
        <v>165030</v>
      </c>
      <c r="F13" s="28"/>
      <c r="G13" s="28"/>
    </row>
    <row r="14" s="11" customFormat="1" ht="37" customHeight="1" outlineLevel="3" spans="1:7">
      <c r="A14" s="30" t="s">
        <v>180</v>
      </c>
      <c r="B14" s="31"/>
      <c r="C14" s="31"/>
      <c r="D14" s="32">
        <v>165030</v>
      </c>
      <c r="E14" s="32">
        <v>165030</v>
      </c>
      <c r="F14" s="31"/>
      <c r="G14" s="31"/>
    </row>
    <row r="15" s="11" customFormat="1" ht="13" customHeight="1" outlineLevel="1" spans="1:7">
      <c r="A15" s="26" t="s">
        <v>181</v>
      </c>
      <c r="B15" s="25"/>
      <c r="C15" s="25"/>
      <c r="D15" s="24">
        <v>4004747.95</v>
      </c>
      <c r="E15" s="24">
        <v>3990411.79</v>
      </c>
      <c r="F15" s="24">
        <v>14336.16</v>
      </c>
      <c r="G15" s="25"/>
    </row>
    <row r="16" s="11" customFormat="1" ht="12" customHeight="1" outlineLevel="2" spans="1:7">
      <c r="A16" s="27" t="s">
        <v>182</v>
      </c>
      <c r="B16" s="28"/>
      <c r="C16" s="28"/>
      <c r="D16" s="29">
        <v>6318</v>
      </c>
      <c r="E16" s="28"/>
      <c r="F16" s="29">
        <v>6318</v>
      </c>
      <c r="G16" s="28"/>
    </row>
    <row r="17" s="11" customFormat="1" ht="37" customHeight="1" outlineLevel="3" spans="1:7">
      <c r="A17" s="30" t="s">
        <v>183</v>
      </c>
      <c r="B17" s="31"/>
      <c r="C17" s="31"/>
      <c r="D17" s="32">
        <v>6318</v>
      </c>
      <c r="E17" s="31"/>
      <c r="F17" s="32">
        <v>6318</v>
      </c>
      <c r="G17" s="31"/>
    </row>
    <row r="18" s="11" customFormat="1" ht="12" customHeight="1" outlineLevel="2" spans="1:7">
      <c r="A18" s="27" t="s">
        <v>184</v>
      </c>
      <c r="B18" s="28"/>
      <c r="C18" s="28"/>
      <c r="D18" s="29">
        <v>3917499.29</v>
      </c>
      <c r="E18" s="29">
        <v>3917499.29</v>
      </c>
      <c r="F18" s="28"/>
      <c r="G18" s="28"/>
    </row>
    <row r="19" s="11" customFormat="1" ht="37" customHeight="1" outlineLevel="3" spans="1:7">
      <c r="A19" s="30" t="s">
        <v>185</v>
      </c>
      <c r="B19" s="31"/>
      <c r="C19" s="31"/>
      <c r="D19" s="32">
        <v>37370.65</v>
      </c>
      <c r="E19" s="32">
        <v>37370.65</v>
      </c>
      <c r="F19" s="31"/>
      <c r="G19" s="31"/>
    </row>
    <row r="20" s="11" customFormat="1" ht="37" customHeight="1" outlineLevel="3" spans="1:7">
      <c r="A20" s="30" t="s">
        <v>186</v>
      </c>
      <c r="B20" s="31"/>
      <c r="C20" s="31"/>
      <c r="D20" s="32">
        <v>37370.65</v>
      </c>
      <c r="E20" s="32">
        <v>37370.65</v>
      </c>
      <c r="F20" s="31"/>
      <c r="G20" s="31"/>
    </row>
    <row r="21" s="11" customFormat="1" ht="37" customHeight="1" outlineLevel="3" spans="1:7">
      <c r="A21" s="30" t="s">
        <v>187</v>
      </c>
      <c r="B21" s="31"/>
      <c r="C21" s="31"/>
      <c r="D21" s="32">
        <v>37370.65</v>
      </c>
      <c r="E21" s="32">
        <v>37370.65</v>
      </c>
      <c r="F21" s="31"/>
      <c r="G21" s="31"/>
    </row>
    <row r="22" s="11" customFormat="1" ht="37" customHeight="1" outlineLevel="3" spans="1:7">
      <c r="A22" s="30" t="s">
        <v>188</v>
      </c>
      <c r="B22" s="31"/>
      <c r="C22" s="31"/>
      <c r="D22" s="32">
        <v>37370.65</v>
      </c>
      <c r="E22" s="32">
        <v>37370.65</v>
      </c>
      <c r="F22" s="31"/>
      <c r="G22" s="31"/>
    </row>
    <row r="23" s="11" customFormat="1" ht="37" customHeight="1" outlineLevel="3" spans="1:7">
      <c r="A23" s="30" t="s">
        <v>189</v>
      </c>
      <c r="B23" s="31"/>
      <c r="C23" s="31"/>
      <c r="D23" s="32">
        <v>101007.42</v>
      </c>
      <c r="E23" s="32">
        <v>101007.42</v>
      </c>
      <c r="F23" s="31"/>
      <c r="G23" s="31"/>
    </row>
    <row r="24" s="11" customFormat="1" ht="37" customHeight="1" outlineLevel="3" spans="1:7">
      <c r="A24" s="30" t="s">
        <v>190</v>
      </c>
      <c r="B24" s="31"/>
      <c r="C24" s="31"/>
      <c r="D24" s="32">
        <v>97336.86</v>
      </c>
      <c r="E24" s="32">
        <v>97336.86</v>
      </c>
      <c r="F24" s="31"/>
      <c r="G24" s="31"/>
    </row>
    <row r="25" s="11" customFormat="1" ht="37" customHeight="1" outlineLevel="3" spans="1:7">
      <c r="A25" s="30" t="s">
        <v>191</v>
      </c>
      <c r="B25" s="31"/>
      <c r="C25" s="31"/>
      <c r="D25" s="32">
        <v>101378.94</v>
      </c>
      <c r="E25" s="32">
        <v>101378.94</v>
      </c>
      <c r="F25" s="31"/>
      <c r="G25" s="31"/>
    </row>
    <row r="26" s="11" customFormat="1" ht="37" customHeight="1" outlineLevel="3" spans="1:7">
      <c r="A26" s="30" t="s">
        <v>192</v>
      </c>
      <c r="B26" s="31"/>
      <c r="C26" s="31"/>
      <c r="D26" s="32">
        <v>101378.94</v>
      </c>
      <c r="E26" s="32">
        <v>101378.94</v>
      </c>
      <c r="F26" s="31"/>
      <c r="G26" s="31"/>
    </row>
    <row r="27" s="11" customFormat="1" ht="37" customHeight="1" outlineLevel="3" spans="1:7">
      <c r="A27" s="30" t="s">
        <v>193</v>
      </c>
      <c r="B27" s="31"/>
      <c r="C27" s="31"/>
      <c r="D27" s="32">
        <v>101378.94</v>
      </c>
      <c r="E27" s="32">
        <v>101378.94</v>
      </c>
      <c r="F27" s="31"/>
      <c r="G27" s="31"/>
    </row>
    <row r="28" s="11" customFormat="1" ht="37" customHeight="1" outlineLevel="3" spans="1:7">
      <c r="A28" s="30" t="s">
        <v>194</v>
      </c>
      <c r="B28" s="31"/>
      <c r="C28" s="31"/>
      <c r="D28" s="32">
        <v>95042.76</v>
      </c>
      <c r="E28" s="32">
        <v>95042.76</v>
      </c>
      <c r="F28" s="31"/>
      <c r="G28" s="31"/>
    </row>
    <row r="29" s="11" customFormat="1" ht="37" customHeight="1" outlineLevel="3" spans="1:7">
      <c r="A29" s="30" t="s">
        <v>195</v>
      </c>
      <c r="B29" s="31"/>
      <c r="C29" s="31"/>
      <c r="D29" s="32">
        <v>126174.4</v>
      </c>
      <c r="E29" s="32">
        <v>126174.4</v>
      </c>
      <c r="F29" s="31"/>
      <c r="G29" s="31"/>
    </row>
    <row r="30" s="11" customFormat="1" ht="37" customHeight="1" outlineLevel="3" spans="1:7">
      <c r="A30" s="30" t="s">
        <v>196</v>
      </c>
      <c r="B30" s="31"/>
      <c r="C30" s="31"/>
      <c r="D30" s="32">
        <v>95960.4</v>
      </c>
      <c r="E30" s="32">
        <v>95960.4</v>
      </c>
      <c r="F30" s="31"/>
      <c r="G30" s="31"/>
    </row>
    <row r="31" s="11" customFormat="1" ht="37" customHeight="1" outlineLevel="3" spans="1:7">
      <c r="A31" s="30" t="s">
        <v>197</v>
      </c>
      <c r="B31" s="31"/>
      <c r="C31" s="31"/>
      <c r="D31" s="32">
        <v>101378.94</v>
      </c>
      <c r="E31" s="32">
        <v>101378.94</v>
      </c>
      <c r="F31" s="31"/>
      <c r="G31" s="31"/>
    </row>
    <row r="32" s="11" customFormat="1" ht="37" customHeight="1" outlineLevel="3" spans="1:7">
      <c r="A32" s="30" t="s">
        <v>198</v>
      </c>
      <c r="B32" s="31"/>
      <c r="C32" s="31"/>
      <c r="D32" s="32">
        <v>124134.27</v>
      </c>
      <c r="E32" s="32">
        <v>124134.27</v>
      </c>
      <c r="F32" s="31"/>
      <c r="G32" s="31"/>
    </row>
    <row r="33" s="11" customFormat="1" ht="37" customHeight="1" outlineLevel="3" spans="1:7">
      <c r="A33" s="30" t="s">
        <v>199</v>
      </c>
      <c r="B33" s="31"/>
      <c r="C33" s="31"/>
      <c r="D33" s="32">
        <v>37370.65</v>
      </c>
      <c r="E33" s="32">
        <v>37370.65</v>
      </c>
      <c r="F33" s="31"/>
      <c r="G33" s="31"/>
    </row>
    <row r="34" s="11" customFormat="1" ht="37" customHeight="1" outlineLevel="3" spans="1:7">
      <c r="A34" s="30" t="s">
        <v>200</v>
      </c>
      <c r="B34" s="31"/>
      <c r="C34" s="31"/>
      <c r="D34" s="32">
        <v>37370.65</v>
      </c>
      <c r="E34" s="32">
        <v>37370.65</v>
      </c>
      <c r="F34" s="31"/>
      <c r="G34" s="31"/>
    </row>
    <row r="35" s="11" customFormat="1" ht="37" customHeight="1" outlineLevel="3" spans="1:7">
      <c r="A35" s="30" t="s">
        <v>201</v>
      </c>
      <c r="B35" s="31"/>
      <c r="C35" s="31"/>
      <c r="D35" s="32">
        <v>109853.34</v>
      </c>
      <c r="E35" s="32">
        <v>109853.34</v>
      </c>
      <c r="F35" s="31"/>
      <c r="G35" s="31"/>
    </row>
    <row r="36" s="11" customFormat="1" ht="37" customHeight="1" outlineLevel="3" spans="1:7">
      <c r="A36" s="30" t="s">
        <v>202</v>
      </c>
      <c r="B36" s="31"/>
      <c r="C36" s="31"/>
      <c r="D36" s="32">
        <v>109853.34</v>
      </c>
      <c r="E36" s="32">
        <v>109853.34</v>
      </c>
      <c r="F36" s="31"/>
      <c r="G36" s="31"/>
    </row>
    <row r="37" s="11" customFormat="1" ht="37" customHeight="1" outlineLevel="3" spans="1:7">
      <c r="A37" s="30" t="s">
        <v>203</v>
      </c>
      <c r="B37" s="31"/>
      <c r="C37" s="31"/>
      <c r="D37" s="32">
        <v>35039.58</v>
      </c>
      <c r="E37" s="32">
        <v>35039.58</v>
      </c>
      <c r="F37" s="31"/>
      <c r="G37" s="31"/>
    </row>
    <row r="38" s="11" customFormat="1" ht="37" customHeight="1" outlineLevel="3" spans="1:7">
      <c r="A38" s="30" t="s">
        <v>204</v>
      </c>
      <c r="B38" s="31"/>
      <c r="C38" s="31"/>
      <c r="D38" s="32">
        <v>35039.58</v>
      </c>
      <c r="E38" s="32">
        <v>35039.58</v>
      </c>
      <c r="F38" s="31"/>
      <c r="G38" s="31"/>
    </row>
    <row r="39" s="11" customFormat="1" ht="37" customHeight="1" outlineLevel="3" spans="1:7">
      <c r="A39" s="30" t="s">
        <v>205</v>
      </c>
      <c r="B39" s="31"/>
      <c r="C39" s="31"/>
      <c r="D39" s="32">
        <v>109853.34</v>
      </c>
      <c r="E39" s="32">
        <v>109853.34</v>
      </c>
      <c r="F39" s="31"/>
      <c r="G39" s="31"/>
    </row>
    <row r="40" s="11" customFormat="1" ht="37" customHeight="1" outlineLevel="3" spans="1:7">
      <c r="A40" s="30" t="s">
        <v>206</v>
      </c>
      <c r="B40" s="31"/>
      <c r="C40" s="31"/>
      <c r="D40" s="32">
        <v>109853.34</v>
      </c>
      <c r="E40" s="32">
        <v>109853.34</v>
      </c>
      <c r="F40" s="31"/>
      <c r="G40" s="31"/>
    </row>
    <row r="41" s="11" customFormat="1" ht="37" customHeight="1" outlineLevel="3" spans="1:7">
      <c r="A41" s="30" t="s">
        <v>207</v>
      </c>
      <c r="B41" s="31"/>
      <c r="C41" s="31"/>
      <c r="D41" s="32">
        <v>109853.34</v>
      </c>
      <c r="E41" s="32">
        <v>109853.34</v>
      </c>
      <c r="F41" s="31"/>
      <c r="G41" s="31"/>
    </row>
    <row r="42" s="11" customFormat="1" ht="37" customHeight="1" outlineLevel="3" spans="1:7">
      <c r="A42" s="30" t="s">
        <v>208</v>
      </c>
      <c r="B42" s="31"/>
      <c r="C42" s="31"/>
      <c r="D42" s="32">
        <v>35039.58</v>
      </c>
      <c r="E42" s="32">
        <v>35039.58</v>
      </c>
      <c r="F42" s="31"/>
      <c r="G42" s="31"/>
    </row>
    <row r="43" s="11" customFormat="1" ht="37" customHeight="1" outlineLevel="3" spans="1:7">
      <c r="A43" s="30" t="s">
        <v>209</v>
      </c>
      <c r="B43" s="31"/>
      <c r="C43" s="31"/>
      <c r="D43" s="32">
        <v>37370.65</v>
      </c>
      <c r="E43" s="32">
        <v>37370.65</v>
      </c>
      <c r="F43" s="31"/>
      <c r="G43" s="31"/>
    </row>
    <row r="44" s="11" customFormat="1" ht="37" customHeight="1" outlineLevel="3" spans="1:7">
      <c r="A44" s="30" t="s">
        <v>210</v>
      </c>
      <c r="B44" s="31"/>
      <c r="C44" s="31"/>
      <c r="D44" s="32">
        <v>32995.16</v>
      </c>
      <c r="E44" s="32">
        <v>32995.16</v>
      </c>
      <c r="F44" s="31"/>
      <c r="G44" s="31"/>
    </row>
    <row r="45" s="11" customFormat="1" ht="37" customHeight="1" outlineLevel="3" spans="1:7">
      <c r="A45" s="30" t="s">
        <v>211</v>
      </c>
      <c r="B45" s="31"/>
      <c r="C45" s="31"/>
      <c r="D45" s="32">
        <v>35326.23</v>
      </c>
      <c r="E45" s="32">
        <v>35326.23</v>
      </c>
      <c r="F45" s="31"/>
      <c r="G45" s="31"/>
    </row>
    <row r="46" s="11" customFormat="1" ht="37" customHeight="1" outlineLevel="3" spans="1:7">
      <c r="A46" s="30" t="s">
        <v>212</v>
      </c>
      <c r="B46" s="31"/>
      <c r="C46" s="31"/>
      <c r="D46" s="32">
        <v>35326.23</v>
      </c>
      <c r="E46" s="32">
        <v>35326.23</v>
      </c>
      <c r="F46" s="31"/>
      <c r="G46" s="31"/>
    </row>
    <row r="47" s="11" customFormat="1" ht="37" customHeight="1" outlineLevel="3" spans="1:7">
      <c r="A47" s="30" t="s">
        <v>213</v>
      </c>
      <c r="B47" s="31"/>
      <c r="C47" s="31"/>
      <c r="D47" s="32">
        <v>102987.51</v>
      </c>
      <c r="E47" s="32">
        <v>102987.51</v>
      </c>
      <c r="F47" s="31"/>
      <c r="G47" s="31"/>
    </row>
    <row r="48" s="11" customFormat="1" ht="37" customHeight="1" outlineLevel="3" spans="1:7">
      <c r="A48" s="30" t="s">
        <v>214</v>
      </c>
      <c r="B48" s="31"/>
      <c r="C48" s="31"/>
      <c r="D48" s="32">
        <v>102987.51</v>
      </c>
      <c r="E48" s="32">
        <v>102987.51</v>
      </c>
      <c r="F48" s="31"/>
      <c r="G48" s="31"/>
    </row>
    <row r="49" s="11" customFormat="1" ht="37" customHeight="1" outlineLevel="3" spans="1:7">
      <c r="A49" s="30" t="s">
        <v>215</v>
      </c>
      <c r="B49" s="31"/>
      <c r="C49" s="31"/>
      <c r="D49" s="32">
        <v>35326.23</v>
      </c>
      <c r="E49" s="32">
        <v>35326.23</v>
      </c>
      <c r="F49" s="31"/>
      <c r="G49" s="31"/>
    </row>
    <row r="50" s="11" customFormat="1" ht="37" customHeight="1" outlineLevel="3" spans="1:7">
      <c r="A50" s="30" t="s">
        <v>216</v>
      </c>
      <c r="B50" s="31"/>
      <c r="C50" s="31"/>
      <c r="D50" s="32">
        <v>35326.23</v>
      </c>
      <c r="E50" s="32">
        <v>35326.23</v>
      </c>
      <c r="F50" s="31"/>
      <c r="G50" s="31"/>
    </row>
    <row r="51" s="11" customFormat="1" ht="37" customHeight="1" outlineLevel="3" spans="1:7">
      <c r="A51" s="30" t="s">
        <v>217</v>
      </c>
      <c r="B51" s="31"/>
      <c r="C51" s="31"/>
      <c r="D51" s="32">
        <v>96121.68</v>
      </c>
      <c r="E51" s="32">
        <v>96121.68</v>
      </c>
      <c r="F51" s="31"/>
      <c r="G51" s="31"/>
    </row>
    <row r="52" s="11" customFormat="1" ht="37" customHeight="1" outlineLevel="3" spans="1:7">
      <c r="A52" s="30" t="s">
        <v>218</v>
      </c>
      <c r="B52" s="31"/>
      <c r="C52" s="31"/>
      <c r="D52" s="32">
        <v>35326.23</v>
      </c>
      <c r="E52" s="32">
        <v>35326.23</v>
      </c>
      <c r="F52" s="31"/>
      <c r="G52" s="31"/>
    </row>
    <row r="53" s="11" customFormat="1" ht="37" customHeight="1" outlineLevel="3" spans="1:7">
      <c r="A53" s="30" t="s">
        <v>219</v>
      </c>
      <c r="B53" s="31"/>
      <c r="C53" s="31"/>
      <c r="D53" s="32">
        <v>35326.23</v>
      </c>
      <c r="E53" s="32">
        <v>35326.23</v>
      </c>
      <c r="F53" s="31"/>
      <c r="G53" s="31"/>
    </row>
    <row r="54" s="11" customFormat="1" ht="37" customHeight="1" outlineLevel="3" spans="1:7">
      <c r="A54" s="30" t="s">
        <v>220</v>
      </c>
      <c r="B54" s="31"/>
      <c r="C54" s="31"/>
      <c r="D54" s="32">
        <v>37072.12</v>
      </c>
      <c r="E54" s="32">
        <v>37072.12</v>
      </c>
      <c r="F54" s="31"/>
      <c r="G54" s="31"/>
    </row>
    <row r="55" s="11" customFormat="1" ht="37" customHeight="1" outlineLevel="3" spans="1:7">
      <c r="A55" s="30" t="s">
        <v>221</v>
      </c>
      <c r="B55" s="31"/>
      <c r="C55" s="31"/>
      <c r="D55" s="32">
        <v>37072.12</v>
      </c>
      <c r="E55" s="32">
        <v>37072.12</v>
      </c>
      <c r="F55" s="31"/>
      <c r="G55" s="31"/>
    </row>
    <row r="56" s="11" customFormat="1" ht="37" customHeight="1" outlineLevel="3" spans="1:7">
      <c r="A56" s="30" t="s">
        <v>222</v>
      </c>
      <c r="B56" s="31"/>
      <c r="C56" s="31"/>
      <c r="D56" s="32">
        <v>35326.23</v>
      </c>
      <c r="E56" s="32">
        <v>35326.23</v>
      </c>
      <c r="F56" s="31"/>
      <c r="G56" s="31"/>
    </row>
    <row r="57" s="11" customFormat="1" ht="37" customHeight="1" outlineLevel="3" spans="1:7">
      <c r="A57" s="30" t="s">
        <v>223</v>
      </c>
      <c r="B57" s="31"/>
      <c r="C57" s="31"/>
      <c r="D57" s="32">
        <v>39429.5</v>
      </c>
      <c r="E57" s="32">
        <v>39429.5</v>
      </c>
      <c r="F57" s="31"/>
      <c r="G57" s="31"/>
    </row>
    <row r="58" s="11" customFormat="1" ht="37" customHeight="1" outlineLevel="3" spans="1:7">
      <c r="A58" s="30" t="s">
        <v>224</v>
      </c>
      <c r="B58" s="31"/>
      <c r="C58" s="31"/>
      <c r="D58" s="32">
        <v>130132</v>
      </c>
      <c r="E58" s="32">
        <v>130132</v>
      </c>
      <c r="F58" s="31"/>
      <c r="G58" s="31"/>
    </row>
    <row r="59" s="11" customFormat="1" ht="37" customHeight="1" outlineLevel="3" spans="1:7">
      <c r="A59" s="30" t="s">
        <v>225</v>
      </c>
      <c r="B59" s="31"/>
      <c r="C59" s="31"/>
      <c r="D59" s="32">
        <v>31680.92</v>
      </c>
      <c r="E59" s="32">
        <v>31680.92</v>
      </c>
      <c r="F59" s="31"/>
      <c r="G59" s="31"/>
    </row>
    <row r="60" s="11" customFormat="1" ht="37" customHeight="1" outlineLevel="3" spans="1:7">
      <c r="A60" s="30" t="s">
        <v>226</v>
      </c>
      <c r="B60" s="31"/>
      <c r="C60" s="31"/>
      <c r="D60" s="32">
        <v>35326.23</v>
      </c>
      <c r="E60" s="32">
        <v>35326.23</v>
      </c>
      <c r="F60" s="31"/>
      <c r="G60" s="31"/>
    </row>
    <row r="61" s="11" customFormat="1" ht="37" customHeight="1" outlineLevel="3" spans="1:7">
      <c r="A61" s="30" t="s">
        <v>227</v>
      </c>
      <c r="B61" s="31"/>
      <c r="C61" s="31"/>
      <c r="D61" s="32">
        <v>37072.12</v>
      </c>
      <c r="E61" s="32">
        <v>37072.12</v>
      </c>
      <c r="F61" s="31"/>
      <c r="G61" s="31"/>
    </row>
    <row r="62" s="11" customFormat="1" ht="37" customHeight="1" outlineLevel="3" spans="1:7">
      <c r="A62" s="30" t="s">
        <v>228</v>
      </c>
      <c r="B62" s="31"/>
      <c r="C62" s="31"/>
      <c r="D62" s="32">
        <v>38017.1</v>
      </c>
      <c r="E62" s="32">
        <v>38017.1</v>
      </c>
      <c r="F62" s="31"/>
      <c r="G62" s="31"/>
    </row>
    <row r="63" s="11" customFormat="1" ht="37" customHeight="1" outlineLevel="3" spans="1:7">
      <c r="A63" s="30" t="s">
        <v>229</v>
      </c>
      <c r="B63" s="31"/>
      <c r="C63" s="31"/>
      <c r="D63" s="32">
        <v>38017.1</v>
      </c>
      <c r="E63" s="32">
        <v>38017.1</v>
      </c>
      <c r="F63" s="31"/>
      <c r="G63" s="31"/>
    </row>
    <row r="64" s="11" customFormat="1" ht="37" customHeight="1" outlineLevel="3" spans="1:7">
      <c r="A64" s="30" t="s">
        <v>230</v>
      </c>
      <c r="B64" s="31"/>
      <c r="C64" s="31"/>
      <c r="D64" s="32">
        <v>38017.1</v>
      </c>
      <c r="E64" s="32">
        <v>38017.1</v>
      </c>
      <c r="F64" s="31"/>
      <c r="G64" s="31"/>
    </row>
    <row r="65" s="11" customFormat="1" ht="37" customHeight="1" outlineLevel="3" spans="1:7">
      <c r="A65" s="30" t="s">
        <v>231</v>
      </c>
      <c r="B65" s="31"/>
      <c r="C65" s="31"/>
      <c r="D65" s="32">
        <v>117699.62</v>
      </c>
      <c r="E65" s="32">
        <v>117699.62</v>
      </c>
      <c r="F65" s="31"/>
      <c r="G65" s="31"/>
    </row>
    <row r="66" s="11" customFormat="1" ht="37" customHeight="1" outlineLevel="3" spans="1:7">
      <c r="A66" s="30" t="s">
        <v>232</v>
      </c>
      <c r="B66" s="31"/>
      <c r="C66" s="31"/>
      <c r="D66" s="32">
        <v>38017.1</v>
      </c>
      <c r="E66" s="32">
        <v>38017.1</v>
      </c>
      <c r="F66" s="31"/>
      <c r="G66" s="31"/>
    </row>
    <row r="67" s="11" customFormat="1" ht="37" customHeight="1" outlineLevel="3" spans="1:7">
      <c r="A67" s="30" t="s">
        <v>233</v>
      </c>
      <c r="B67" s="31"/>
      <c r="C67" s="31"/>
      <c r="D67" s="32">
        <v>38017.1</v>
      </c>
      <c r="E67" s="32">
        <v>38017.1</v>
      </c>
      <c r="F67" s="31"/>
      <c r="G67" s="31"/>
    </row>
    <row r="68" s="11" customFormat="1" ht="37" customHeight="1" outlineLevel="3" spans="1:7">
      <c r="A68" s="30" t="s">
        <v>234</v>
      </c>
      <c r="B68" s="31"/>
      <c r="C68" s="31"/>
      <c r="D68" s="32">
        <v>126174.4</v>
      </c>
      <c r="E68" s="32">
        <v>126174.4</v>
      </c>
      <c r="F68" s="31"/>
      <c r="G68" s="31"/>
    </row>
    <row r="69" s="11" customFormat="1" ht="37" customHeight="1" outlineLevel="3" spans="1:7">
      <c r="A69" s="30" t="s">
        <v>235</v>
      </c>
      <c r="B69" s="31"/>
      <c r="C69" s="31"/>
      <c r="D69" s="32">
        <v>123703.43</v>
      </c>
      <c r="E69" s="32">
        <v>123703.43</v>
      </c>
      <c r="F69" s="31"/>
      <c r="G69" s="31"/>
    </row>
    <row r="70" s="11" customFormat="1" ht="37" customHeight="1" outlineLevel="3" spans="1:7">
      <c r="A70" s="30" t="s">
        <v>236</v>
      </c>
      <c r="B70" s="31"/>
      <c r="C70" s="31"/>
      <c r="D70" s="32">
        <v>101378.94</v>
      </c>
      <c r="E70" s="32">
        <v>101378.94</v>
      </c>
      <c r="F70" s="31"/>
      <c r="G70" s="31"/>
    </row>
    <row r="71" s="11" customFormat="1" ht="37" customHeight="1" outlineLevel="3" spans="1:7">
      <c r="A71" s="30" t="s">
        <v>237</v>
      </c>
      <c r="B71" s="31"/>
      <c r="C71" s="31"/>
      <c r="D71" s="32">
        <v>33721</v>
      </c>
      <c r="E71" s="32">
        <v>33721</v>
      </c>
      <c r="F71" s="31"/>
      <c r="G71" s="31"/>
    </row>
    <row r="72" s="11" customFormat="1" ht="37" customHeight="1" outlineLevel="3" spans="1:7">
      <c r="A72" s="30" t="s">
        <v>238</v>
      </c>
      <c r="B72" s="31"/>
      <c r="C72" s="31"/>
      <c r="D72" s="32">
        <v>32995.16</v>
      </c>
      <c r="E72" s="32">
        <v>32995.16</v>
      </c>
      <c r="F72" s="31"/>
      <c r="G72" s="31"/>
    </row>
    <row r="73" s="11" customFormat="1" ht="37" customHeight="1" outlineLevel="3" spans="1:7">
      <c r="A73" s="30" t="s">
        <v>239</v>
      </c>
      <c r="B73" s="31"/>
      <c r="C73" s="31"/>
      <c r="D73" s="32">
        <v>36781.13</v>
      </c>
      <c r="E73" s="32">
        <v>36781.13</v>
      </c>
      <c r="F73" s="31"/>
      <c r="G73" s="31"/>
    </row>
    <row r="74" s="11" customFormat="1" ht="37" customHeight="1" outlineLevel="3" spans="1:7">
      <c r="A74" s="30" t="s">
        <v>240</v>
      </c>
      <c r="B74" s="31"/>
      <c r="C74" s="31"/>
      <c r="D74" s="32">
        <v>73562.26</v>
      </c>
      <c r="E74" s="32">
        <v>73562.26</v>
      </c>
      <c r="F74" s="31"/>
      <c r="G74" s="31"/>
    </row>
    <row r="75" s="11" customFormat="1" ht="37" customHeight="1" outlineLevel="3" spans="1:7">
      <c r="A75" s="30" t="s">
        <v>241</v>
      </c>
      <c r="B75" s="31"/>
      <c r="C75" s="31"/>
      <c r="D75" s="32">
        <v>38017.1</v>
      </c>
      <c r="E75" s="32">
        <v>38017.1</v>
      </c>
      <c r="F75" s="31"/>
      <c r="G75" s="31"/>
    </row>
    <row r="76" s="11" customFormat="1" ht="37" customHeight="1" outlineLevel="3" spans="1:7">
      <c r="A76" s="30" t="s">
        <v>242</v>
      </c>
      <c r="B76" s="31"/>
      <c r="C76" s="31"/>
      <c r="D76" s="32">
        <v>38017.1</v>
      </c>
      <c r="E76" s="32">
        <v>38017.1</v>
      </c>
      <c r="F76" s="31"/>
      <c r="G76" s="31"/>
    </row>
    <row r="77" s="11" customFormat="1" ht="37" customHeight="1" outlineLevel="3" spans="1:7">
      <c r="A77" s="30" t="s">
        <v>243</v>
      </c>
      <c r="B77" s="31"/>
      <c r="C77" s="31"/>
      <c r="D77" s="32">
        <v>114051.31</v>
      </c>
      <c r="E77" s="32">
        <v>114051.31</v>
      </c>
      <c r="F77" s="31"/>
      <c r="G77" s="31"/>
    </row>
    <row r="78" s="11" customFormat="1" ht="12" customHeight="1" outlineLevel="2" spans="1:7">
      <c r="A78" s="27" t="s">
        <v>244</v>
      </c>
      <c r="B78" s="28"/>
      <c r="C78" s="28"/>
      <c r="D78" s="29">
        <v>34562.03</v>
      </c>
      <c r="E78" s="29">
        <v>34562.03</v>
      </c>
      <c r="F78" s="28"/>
      <c r="G78" s="28"/>
    </row>
    <row r="79" s="11" customFormat="1" ht="37" customHeight="1" outlineLevel="3" spans="1:7">
      <c r="A79" s="30" t="s">
        <v>245</v>
      </c>
      <c r="B79" s="31"/>
      <c r="C79" s="31"/>
      <c r="D79" s="33">
        <v>625</v>
      </c>
      <c r="E79" s="33">
        <v>625</v>
      </c>
      <c r="F79" s="31"/>
      <c r="G79" s="31"/>
    </row>
    <row r="80" s="11" customFormat="1" ht="37" customHeight="1" outlineLevel="3" spans="1:7">
      <c r="A80" s="30" t="s">
        <v>246</v>
      </c>
      <c r="B80" s="31"/>
      <c r="C80" s="31"/>
      <c r="D80" s="32">
        <v>14187.3</v>
      </c>
      <c r="E80" s="32">
        <v>14187.3</v>
      </c>
      <c r="F80" s="31"/>
      <c r="G80" s="31"/>
    </row>
    <row r="81" s="11" customFormat="1" ht="37" customHeight="1" outlineLevel="3" spans="1:7">
      <c r="A81" s="30" t="s">
        <v>247</v>
      </c>
      <c r="B81" s="31"/>
      <c r="C81" s="31"/>
      <c r="D81" s="32">
        <v>19749.73</v>
      </c>
      <c r="E81" s="32">
        <v>19749.73</v>
      </c>
      <c r="F81" s="31"/>
      <c r="G81" s="31"/>
    </row>
    <row r="82" s="11" customFormat="1" ht="12" customHeight="1" outlineLevel="2" spans="1:7">
      <c r="A82" s="27" t="s">
        <v>248</v>
      </c>
      <c r="B82" s="28"/>
      <c r="C82" s="28"/>
      <c r="D82" s="29">
        <v>8554.47</v>
      </c>
      <c r="E82" s="29">
        <v>8554.47</v>
      </c>
      <c r="F82" s="28"/>
      <c r="G82" s="28"/>
    </row>
    <row r="83" s="11" customFormat="1" ht="37" customHeight="1" outlineLevel="3" spans="1:7">
      <c r="A83" s="30" t="s">
        <v>249</v>
      </c>
      <c r="B83" s="31"/>
      <c r="C83" s="31"/>
      <c r="D83" s="32">
        <v>8554.47</v>
      </c>
      <c r="E83" s="32">
        <v>8554.47</v>
      </c>
      <c r="F83" s="31"/>
      <c r="G83" s="31"/>
    </row>
    <row r="84" s="11" customFormat="1" ht="12" customHeight="1" outlineLevel="2" spans="1:7">
      <c r="A84" s="27" t="s">
        <v>250</v>
      </c>
      <c r="B84" s="28"/>
      <c r="C84" s="28"/>
      <c r="D84" s="29">
        <v>29796</v>
      </c>
      <c r="E84" s="29">
        <v>29796</v>
      </c>
      <c r="F84" s="28"/>
      <c r="G84" s="28"/>
    </row>
    <row r="85" s="11" customFormat="1" ht="37" customHeight="1" outlineLevel="3" spans="1:7">
      <c r="A85" s="30" t="s">
        <v>251</v>
      </c>
      <c r="B85" s="31"/>
      <c r="C85" s="31"/>
      <c r="D85" s="32">
        <v>29796</v>
      </c>
      <c r="E85" s="32">
        <v>29796</v>
      </c>
      <c r="F85" s="31"/>
      <c r="G85" s="31"/>
    </row>
    <row r="86" s="11" customFormat="1" ht="12" customHeight="1" outlineLevel="2" spans="1:7">
      <c r="A86" s="27" t="s">
        <v>252</v>
      </c>
      <c r="B86" s="28"/>
      <c r="C86" s="28"/>
      <c r="D86" s="29">
        <v>8018.16</v>
      </c>
      <c r="E86" s="28"/>
      <c r="F86" s="29">
        <v>8018.16</v>
      </c>
      <c r="G86" s="28"/>
    </row>
    <row r="87" s="11" customFormat="1" ht="37" customHeight="1" outlineLevel="3" spans="1:7">
      <c r="A87" s="30" t="s">
        <v>253</v>
      </c>
      <c r="B87" s="31"/>
      <c r="C87" s="31"/>
      <c r="D87" s="32">
        <v>5155.38</v>
      </c>
      <c r="E87" s="31"/>
      <c r="F87" s="32">
        <v>5155.38</v>
      </c>
      <c r="G87" s="31"/>
    </row>
    <row r="88" s="11" customFormat="1" ht="37" customHeight="1" outlineLevel="3" spans="1:7">
      <c r="A88" s="30" t="s">
        <v>254</v>
      </c>
      <c r="B88" s="31"/>
      <c r="C88" s="31"/>
      <c r="D88" s="32">
        <v>2862.78</v>
      </c>
      <c r="E88" s="31"/>
      <c r="F88" s="32">
        <v>2862.78</v>
      </c>
      <c r="G88" s="31"/>
    </row>
    <row r="89" s="11" customFormat="1" ht="13" customHeight="1" outlineLevel="1" spans="1:7">
      <c r="A89" s="26" t="s">
        <v>255</v>
      </c>
      <c r="B89" s="24">
        <v>55211.53</v>
      </c>
      <c r="C89" s="25"/>
      <c r="D89" s="24">
        <v>545024.58</v>
      </c>
      <c r="E89" s="24">
        <v>429332.77</v>
      </c>
      <c r="F89" s="24">
        <v>170903.34</v>
      </c>
      <c r="G89" s="25"/>
    </row>
    <row r="90" s="11" customFormat="1" ht="12" customHeight="1" outlineLevel="2" spans="1:7">
      <c r="A90" s="27" t="s">
        <v>182</v>
      </c>
      <c r="B90" s="28"/>
      <c r="C90" s="28"/>
      <c r="D90" s="29">
        <v>37003.34</v>
      </c>
      <c r="E90" s="28"/>
      <c r="F90" s="29">
        <v>37003.34</v>
      </c>
      <c r="G90" s="28"/>
    </row>
    <row r="91" s="11" customFormat="1" ht="37" customHeight="1" outlineLevel="3" spans="1:7">
      <c r="A91" s="30" t="s">
        <v>256</v>
      </c>
      <c r="B91" s="31"/>
      <c r="C91" s="31"/>
      <c r="D91" s="32">
        <v>33103.34</v>
      </c>
      <c r="E91" s="31"/>
      <c r="F91" s="32">
        <v>33103.34</v>
      </c>
      <c r="G91" s="31"/>
    </row>
    <row r="92" s="11" customFormat="1" ht="37" customHeight="1" outlineLevel="3" spans="1:7">
      <c r="A92" s="30" t="s">
        <v>257</v>
      </c>
      <c r="B92" s="31"/>
      <c r="C92" s="31"/>
      <c r="D92" s="32">
        <v>3900</v>
      </c>
      <c r="E92" s="31"/>
      <c r="F92" s="32">
        <v>3900</v>
      </c>
      <c r="G92" s="31"/>
    </row>
    <row r="93" s="11" customFormat="1" ht="12" customHeight="1" outlineLevel="2" spans="1:7">
      <c r="A93" s="27" t="s">
        <v>184</v>
      </c>
      <c r="B93" s="28"/>
      <c r="C93" s="28"/>
      <c r="D93" s="29">
        <v>347666.92</v>
      </c>
      <c r="E93" s="29">
        <v>347666.92</v>
      </c>
      <c r="F93" s="28"/>
      <c r="G93" s="28"/>
    </row>
    <row r="94" s="11" customFormat="1" ht="37" customHeight="1" outlineLevel="3" spans="1:7">
      <c r="A94" s="30" t="s">
        <v>185</v>
      </c>
      <c r="B94" s="31"/>
      <c r="C94" s="31"/>
      <c r="D94" s="32">
        <v>3108.73</v>
      </c>
      <c r="E94" s="32">
        <v>3108.73</v>
      </c>
      <c r="F94" s="31"/>
      <c r="G94" s="31"/>
    </row>
    <row r="95" s="11" customFormat="1" ht="37" customHeight="1" outlineLevel="3" spans="1:7">
      <c r="A95" s="30" t="s">
        <v>186</v>
      </c>
      <c r="B95" s="31"/>
      <c r="C95" s="31"/>
      <c r="D95" s="32">
        <v>3108.73</v>
      </c>
      <c r="E95" s="32">
        <v>3108.73</v>
      </c>
      <c r="F95" s="31"/>
      <c r="G95" s="31"/>
    </row>
    <row r="96" s="11" customFormat="1" ht="37" customHeight="1" outlineLevel="3" spans="1:7">
      <c r="A96" s="30" t="s">
        <v>187</v>
      </c>
      <c r="B96" s="31"/>
      <c r="C96" s="31"/>
      <c r="D96" s="32">
        <v>3108.73</v>
      </c>
      <c r="E96" s="32">
        <v>3108.73</v>
      </c>
      <c r="F96" s="31"/>
      <c r="G96" s="31"/>
    </row>
    <row r="97" s="11" customFormat="1" ht="37" customHeight="1" outlineLevel="3" spans="1:7">
      <c r="A97" s="30" t="s">
        <v>188</v>
      </c>
      <c r="B97" s="31"/>
      <c r="C97" s="31"/>
      <c r="D97" s="32">
        <v>3108.73</v>
      </c>
      <c r="E97" s="32">
        <v>3108.73</v>
      </c>
      <c r="F97" s="31"/>
      <c r="G97" s="31"/>
    </row>
    <row r="98" s="11" customFormat="1" ht="37" customHeight="1" outlineLevel="3" spans="1:7">
      <c r="A98" s="30" t="s">
        <v>189</v>
      </c>
      <c r="B98" s="31"/>
      <c r="C98" s="31"/>
      <c r="D98" s="32">
        <v>8777.34</v>
      </c>
      <c r="E98" s="32">
        <v>8777.34</v>
      </c>
      <c r="F98" s="31"/>
      <c r="G98" s="31"/>
    </row>
    <row r="99" s="11" customFormat="1" ht="37" customHeight="1" outlineLevel="3" spans="1:7">
      <c r="A99" s="30" t="s">
        <v>190</v>
      </c>
      <c r="B99" s="31"/>
      <c r="C99" s="31"/>
      <c r="D99" s="32">
        <v>8777.34</v>
      </c>
      <c r="E99" s="32">
        <v>8777.34</v>
      </c>
      <c r="F99" s="31"/>
      <c r="G99" s="31"/>
    </row>
    <row r="100" s="11" customFormat="1" ht="37" customHeight="1" outlineLevel="3" spans="1:7">
      <c r="A100" s="30" t="s">
        <v>191</v>
      </c>
      <c r="B100" s="31"/>
      <c r="C100" s="31"/>
      <c r="D100" s="32">
        <v>9362.5</v>
      </c>
      <c r="E100" s="32">
        <v>9362.5</v>
      </c>
      <c r="F100" s="31"/>
      <c r="G100" s="31"/>
    </row>
    <row r="101" s="11" customFormat="1" ht="37" customHeight="1" outlineLevel="3" spans="1:7">
      <c r="A101" s="30" t="s">
        <v>192</v>
      </c>
      <c r="B101" s="31"/>
      <c r="C101" s="31"/>
      <c r="D101" s="32">
        <v>9362.5</v>
      </c>
      <c r="E101" s="32">
        <v>9362.5</v>
      </c>
      <c r="F101" s="31"/>
      <c r="G101" s="31"/>
    </row>
    <row r="102" s="11" customFormat="1" ht="37" customHeight="1" outlineLevel="3" spans="1:7">
      <c r="A102" s="30" t="s">
        <v>193</v>
      </c>
      <c r="B102" s="31"/>
      <c r="C102" s="31"/>
      <c r="D102" s="32">
        <v>9362.5</v>
      </c>
      <c r="E102" s="32">
        <v>9362.5</v>
      </c>
      <c r="F102" s="31"/>
      <c r="G102" s="31"/>
    </row>
    <row r="103" s="11" customFormat="1" ht="37" customHeight="1" outlineLevel="3" spans="1:7">
      <c r="A103" s="30" t="s">
        <v>194</v>
      </c>
      <c r="B103" s="31"/>
      <c r="C103" s="31"/>
      <c r="D103" s="32">
        <v>8777.34</v>
      </c>
      <c r="E103" s="32">
        <v>8777.34</v>
      </c>
      <c r="F103" s="31"/>
      <c r="G103" s="31"/>
    </row>
    <row r="104" s="11" customFormat="1" ht="37" customHeight="1" outlineLevel="3" spans="1:7">
      <c r="A104" s="30" t="s">
        <v>195</v>
      </c>
      <c r="B104" s="31"/>
      <c r="C104" s="31"/>
      <c r="D104" s="32">
        <v>10059.46</v>
      </c>
      <c r="E104" s="32">
        <v>10059.46</v>
      </c>
      <c r="F104" s="31"/>
      <c r="G104" s="31"/>
    </row>
    <row r="105" s="11" customFormat="1" ht="37" customHeight="1" outlineLevel="3" spans="1:7">
      <c r="A105" s="30" t="s">
        <v>196</v>
      </c>
      <c r="B105" s="31"/>
      <c r="C105" s="31"/>
      <c r="D105" s="32">
        <v>8777.34</v>
      </c>
      <c r="E105" s="32">
        <v>8777.34</v>
      </c>
      <c r="F105" s="31"/>
      <c r="G105" s="31"/>
    </row>
    <row r="106" s="11" customFormat="1" ht="37" customHeight="1" outlineLevel="3" spans="1:7">
      <c r="A106" s="30" t="s">
        <v>197</v>
      </c>
      <c r="B106" s="31"/>
      <c r="C106" s="31"/>
      <c r="D106" s="32">
        <v>9362.5</v>
      </c>
      <c r="E106" s="32">
        <v>9362.5</v>
      </c>
      <c r="F106" s="31"/>
      <c r="G106" s="31"/>
    </row>
    <row r="107" s="11" customFormat="1" ht="37" customHeight="1" outlineLevel="3" spans="1:7">
      <c r="A107" s="30" t="s">
        <v>198</v>
      </c>
      <c r="B107" s="31"/>
      <c r="C107" s="31"/>
      <c r="D107" s="32">
        <v>10059.46</v>
      </c>
      <c r="E107" s="32">
        <v>10059.46</v>
      </c>
      <c r="F107" s="31"/>
      <c r="G107" s="31"/>
    </row>
    <row r="108" s="11" customFormat="1" ht="37" customHeight="1" outlineLevel="3" spans="1:7">
      <c r="A108" s="30" t="s">
        <v>199</v>
      </c>
      <c r="B108" s="31"/>
      <c r="C108" s="31"/>
      <c r="D108" s="32">
        <v>3108.73</v>
      </c>
      <c r="E108" s="32">
        <v>3108.73</v>
      </c>
      <c r="F108" s="31"/>
      <c r="G108" s="31"/>
    </row>
    <row r="109" s="11" customFormat="1" ht="37" customHeight="1" outlineLevel="3" spans="1:7">
      <c r="A109" s="30" t="s">
        <v>200</v>
      </c>
      <c r="B109" s="31"/>
      <c r="C109" s="31"/>
      <c r="D109" s="32">
        <v>3108.73</v>
      </c>
      <c r="E109" s="32">
        <v>3108.73</v>
      </c>
      <c r="F109" s="31"/>
      <c r="G109" s="31"/>
    </row>
    <row r="110" s="11" customFormat="1" ht="37" customHeight="1" outlineLevel="3" spans="1:7">
      <c r="A110" s="30" t="s">
        <v>201</v>
      </c>
      <c r="B110" s="31"/>
      <c r="C110" s="31"/>
      <c r="D110" s="32">
        <v>10059.46</v>
      </c>
      <c r="E110" s="32">
        <v>10059.46</v>
      </c>
      <c r="F110" s="31"/>
      <c r="G110" s="31"/>
    </row>
    <row r="111" s="11" customFormat="1" ht="37" customHeight="1" outlineLevel="3" spans="1:7">
      <c r="A111" s="30" t="s">
        <v>202</v>
      </c>
      <c r="B111" s="31"/>
      <c r="C111" s="31"/>
      <c r="D111" s="32">
        <v>10059.46</v>
      </c>
      <c r="E111" s="32">
        <v>10059.46</v>
      </c>
      <c r="F111" s="31"/>
      <c r="G111" s="31"/>
    </row>
    <row r="112" s="11" customFormat="1" ht="37" customHeight="1" outlineLevel="3" spans="1:7">
      <c r="A112" s="30" t="s">
        <v>203</v>
      </c>
      <c r="B112" s="31"/>
      <c r="C112" s="31"/>
      <c r="D112" s="32">
        <v>3108.73</v>
      </c>
      <c r="E112" s="32">
        <v>3108.73</v>
      </c>
      <c r="F112" s="31"/>
      <c r="G112" s="31"/>
    </row>
    <row r="113" s="11" customFormat="1" ht="37" customHeight="1" outlineLevel="3" spans="1:7">
      <c r="A113" s="30" t="s">
        <v>204</v>
      </c>
      <c r="B113" s="31"/>
      <c r="C113" s="31"/>
      <c r="D113" s="32">
        <v>3108.73</v>
      </c>
      <c r="E113" s="32">
        <v>3108.73</v>
      </c>
      <c r="F113" s="31"/>
      <c r="G113" s="31"/>
    </row>
    <row r="114" s="11" customFormat="1" ht="37" customHeight="1" outlineLevel="3" spans="1:7">
      <c r="A114" s="30" t="s">
        <v>205</v>
      </c>
      <c r="B114" s="31"/>
      <c r="C114" s="31"/>
      <c r="D114" s="32">
        <v>10059.46</v>
      </c>
      <c r="E114" s="32">
        <v>10059.46</v>
      </c>
      <c r="F114" s="31"/>
      <c r="G114" s="31"/>
    </row>
    <row r="115" s="11" customFormat="1" ht="37" customHeight="1" outlineLevel="3" spans="1:7">
      <c r="A115" s="30" t="s">
        <v>206</v>
      </c>
      <c r="B115" s="31"/>
      <c r="C115" s="31"/>
      <c r="D115" s="32">
        <v>10059.46</v>
      </c>
      <c r="E115" s="32">
        <v>10059.46</v>
      </c>
      <c r="F115" s="31"/>
      <c r="G115" s="31"/>
    </row>
    <row r="116" s="11" customFormat="1" ht="37" customHeight="1" outlineLevel="3" spans="1:7">
      <c r="A116" s="30" t="s">
        <v>207</v>
      </c>
      <c r="B116" s="31"/>
      <c r="C116" s="31"/>
      <c r="D116" s="32">
        <v>10059.46</v>
      </c>
      <c r="E116" s="32">
        <v>10059.46</v>
      </c>
      <c r="F116" s="31"/>
      <c r="G116" s="31"/>
    </row>
    <row r="117" s="11" customFormat="1" ht="37" customHeight="1" outlineLevel="3" spans="1:7">
      <c r="A117" s="30" t="s">
        <v>208</v>
      </c>
      <c r="B117" s="31"/>
      <c r="C117" s="31"/>
      <c r="D117" s="32">
        <v>3108.73</v>
      </c>
      <c r="E117" s="32">
        <v>3108.73</v>
      </c>
      <c r="F117" s="31"/>
      <c r="G117" s="31"/>
    </row>
    <row r="118" s="11" customFormat="1" ht="37" customHeight="1" outlineLevel="3" spans="1:7">
      <c r="A118" s="30" t="s">
        <v>209</v>
      </c>
      <c r="B118" s="31"/>
      <c r="C118" s="31"/>
      <c r="D118" s="32">
        <v>3108.73</v>
      </c>
      <c r="E118" s="32">
        <v>3108.73</v>
      </c>
      <c r="F118" s="31"/>
      <c r="G118" s="31"/>
    </row>
    <row r="119" s="11" customFormat="1" ht="37" customHeight="1" outlineLevel="3" spans="1:7">
      <c r="A119" s="30" t="s">
        <v>210</v>
      </c>
      <c r="B119" s="31"/>
      <c r="C119" s="31"/>
      <c r="D119" s="32">
        <v>3021.61</v>
      </c>
      <c r="E119" s="32">
        <v>3021.61</v>
      </c>
      <c r="F119" s="31"/>
      <c r="G119" s="31"/>
    </row>
    <row r="120" s="11" customFormat="1" ht="37" customHeight="1" outlineLevel="3" spans="1:7">
      <c r="A120" s="30" t="s">
        <v>211</v>
      </c>
      <c r="B120" s="31"/>
      <c r="C120" s="31"/>
      <c r="D120" s="32">
        <v>3021.61</v>
      </c>
      <c r="E120" s="32">
        <v>3021.61</v>
      </c>
      <c r="F120" s="31"/>
      <c r="G120" s="31"/>
    </row>
    <row r="121" s="11" customFormat="1" ht="37" customHeight="1" outlineLevel="3" spans="1:7">
      <c r="A121" s="30" t="s">
        <v>212</v>
      </c>
      <c r="B121" s="31"/>
      <c r="C121" s="31"/>
      <c r="D121" s="32">
        <v>3021.61</v>
      </c>
      <c r="E121" s="32">
        <v>3021.61</v>
      </c>
      <c r="F121" s="31"/>
      <c r="G121" s="31"/>
    </row>
    <row r="122" s="11" customFormat="1" ht="37" customHeight="1" outlineLevel="3" spans="1:7">
      <c r="A122" s="30" t="s">
        <v>213</v>
      </c>
      <c r="B122" s="31"/>
      <c r="C122" s="31"/>
      <c r="D122" s="32">
        <v>9430.74</v>
      </c>
      <c r="E122" s="32">
        <v>9430.74</v>
      </c>
      <c r="F122" s="31"/>
      <c r="G122" s="31"/>
    </row>
    <row r="123" s="11" customFormat="1" ht="37" customHeight="1" outlineLevel="3" spans="1:7">
      <c r="A123" s="30" t="s">
        <v>214</v>
      </c>
      <c r="B123" s="31"/>
      <c r="C123" s="31"/>
      <c r="D123" s="32">
        <v>9430.74</v>
      </c>
      <c r="E123" s="32">
        <v>9430.74</v>
      </c>
      <c r="F123" s="31"/>
      <c r="G123" s="31"/>
    </row>
    <row r="124" s="11" customFormat="1" ht="37" customHeight="1" outlineLevel="3" spans="1:7">
      <c r="A124" s="30" t="s">
        <v>215</v>
      </c>
      <c r="B124" s="31"/>
      <c r="C124" s="31"/>
      <c r="D124" s="32">
        <v>3021.61</v>
      </c>
      <c r="E124" s="32">
        <v>3021.61</v>
      </c>
      <c r="F124" s="31"/>
      <c r="G124" s="31"/>
    </row>
    <row r="125" s="11" customFormat="1" ht="37" customHeight="1" outlineLevel="3" spans="1:7">
      <c r="A125" s="30" t="s">
        <v>216</v>
      </c>
      <c r="B125" s="31"/>
      <c r="C125" s="31"/>
      <c r="D125" s="32">
        <v>3021.61</v>
      </c>
      <c r="E125" s="32">
        <v>3021.61</v>
      </c>
      <c r="F125" s="31"/>
      <c r="G125" s="31"/>
    </row>
    <row r="126" s="11" customFormat="1" ht="37" customHeight="1" outlineLevel="3" spans="1:7">
      <c r="A126" s="30" t="s">
        <v>217</v>
      </c>
      <c r="B126" s="31"/>
      <c r="C126" s="31"/>
      <c r="D126" s="32">
        <v>8802.02</v>
      </c>
      <c r="E126" s="32">
        <v>8802.02</v>
      </c>
      <c r="F126" s="31"/>
      <c r="G126" s="31"/>
    </row>
    <row r="127" s="11" customFormat="1" ht="37" customHeight="1" outlineLevel="3" spans="1:7">
      <c r="A127" s="30" t="s">
        <v>218</v>
      </c>
      <c r="B127" s="31"/>
      <c r="C127" s="31"/>
      <c r="D127" s="32">
        <v>3021.61</v>
      </c>
      <c r="E127" s="32">
        <v>3021.61</v>
      </c>
      <c r="F127" s="31"/>
      <c r="G127" s="31"/>
    </row>
    <row r="128" s="11" customFormat="1" ht="37" customHeight="1" outlineLevel="3" spans="1:7">
      <c r="A128" s="30" t="s">
        <v>219</v>
      </c>
      <c r="B128" s="31"/>
      <c r="C128" s="31"/>
      <c r="D128" s="32">
        <v>3021.61</v>
      </c>
      <c r="E128" s="32">
        <v>3021.61</v>
      </c>
      <c r="F128" s="31"/>
      <c r="G128" s="31"/>
    </row>
    <row r="129" s="11" customFormat="1" ht="37" customHeight="1" outlineLevel="3" spans="1:7">
      <c r="A129" s="30" t="s">
        <v>220</v>
      </c>
      <c r="B129" s="31"/>
      <c r="C129" s="31"/>
      <c r="D129" s="32">
        <v>3195.85</v>
      </c>
      <c r="E129" s="32">
        <v>3195.85</v>
      </c>
      <c r="F129" s="31"/>
      <c r="G129" s="31"/>
    </row>
    <row r="130" s="11" customFormat="1" ht="37" customHeight="1" outlineLevel="3" spans="1:7">
      <c r="A130" s="30" t="s">
        <v>221</v>
      </c>
      <c r="B130" s="31"/>
      <c r="C130" s="31"/>
      <c r="D130" s="32">
        <v>3195.85</v>
      </c>
      <c r="E130" s="32">
        <v>3195.85</v>
      </c>
      <c r="F130" s="31"/>
      <c r="G130" s="31"/>
    </row>
    <row r="131" s="11" customFormat="1" ht="37" customHeight="1" outlineLevel="3" spans="1:7">
      <c r="A131" s="30" t="s">
        <v>222</v>
      </c>
      <c r="B131" s="31"/>
      <c r="C131" s="31"/>
      <c r="D131" s="32">
        <v>3021.61</v>
      </c>
      <c r="E131" s="32">
        <v>3021.61</v>
      </c>
      <c r="F131" s="31"/>
      <c r="G131" s="31"/>
    </row>
    <row r="132" s="11" customFormat="1" ht="37" customHeight="1" outlineLevel="3" spans="1:7">
      <c r="A132" s="30" t="s">
        <v>223</v>
      </c>
      <c r="B132" s="31"/>
      <c r="C132" s="31"/>
      <c r="D132" s="32">
        <v>3143.58</v>
      </c>
      <c r="E132" s="32">
        <v>3143.58</v>
      </c>
      <c r="F132" s="31"/>
      <c r="G132" s="31"/>
    </row>
    <row r="133" s="11" customFormat="1" ht="37" customHeight="1" outlineLevel="3" spans="1:7">
      <c r="A133" s="30" t="s">
        <v>224</v>
      </c>
      <c r="B133" s="31"/>
      <c r="C133" s="31"/>
      <c r="D133" s="32">
        <v>10802.88</v>
      </c>
      <c r="E133" s="32">
        <v>10802.88</v>
      </c>
      <c r="F133" s="31"/>
      <c r="G133" s="31"/>
    </row>
    <row r="134" s="11" customFormat="1" ht="37" customHeight="1" outlineLevel="3" spans="1:7">
      <c r="A134" s="30" t="s">
        <v>225</v>
      </c>
      <c r="B134" s="31"/>
      <c r="C134" s="31"/>
      <c r="D134" s="32">
        <v>2925.78</v>
      </c>
      <c r="E134" s="32">
        <v>2925.78</v>
      </c>
      <c r="F134" s="31"/>
      <c r="G134" s="31"/>
    </row>
    <row r="135" s="11" customFormat="1" ht="37" customHeight="1" outlineLevel="3" spans="1:7">
      <c r="A135" s="30" t="s">
        <v>226</v>
      </c>
      <c r="B135" s="31"/>
      <c r="C135" s="31"/>
      <c r="D135" s="32">
        <v>3021.61</v>
      </c>
      <c r="E135" s="32">
        <v>3021.61</v>
      </c>
      <c r="F135" s="31"/>
      <c r="G135" s="31"/>
    </row>
    <row r="136" s="11" customFormat="1" ht="37" customHeight="1" outlineLevel="3" spans="1:7">
      <c r="A136" s="30" t="s">
        <v>227</v>
      </c>
      <c r="B136" s="31"/>
      <c r="C136" s="31"/>
      <c r="D136" s="32">
        <v>3195.85</v>
      </c>
      <c r="E136" s="32">
        <v>3195.85</v>
      </c>
      <c r="F136" s="31"/>
      <c r="G136" s="31"/>
    </row>
    <row r="137" s="11" customFormat="1" ht="37" customHeight="1" outlineLevel="3" spans="1:7">
      <c r="A137" s="30" t="s">
        <v>228</v>
      </c>
      <c r="B137" s="31"/>
      <c r="C137" s="31"/>
      <c r="D137" s="32">
        <v>3510.94</v>
      </c>
      <c r="E137" s="32">
        <v>3510.94</v>
      </c>
      <c r="F137" s="31"/>
      <c r="G137" s="31"/>
    </row>
    <row r="138" s="11" customFormat="1" ht="37" customHeight="1" outlineLevel="3" spans="1:7">
      <c r="A138" s="30" t="s">
        <v>229</v>
      </c>
      <c r="B138" s="31"/>
      <c r="C138" s="31"/>
      <c r="D138" s="32">
        <v>3510.94</v>
      </c>
      <c r="E138" s="32">
        <v>3510.94</v>
      </c>
      <c r="F138" s="31"/>
      <c r="G138" s="31"/>
    </row>
    <row r="139" s="11" customFormat="1" ht="37" customHeight="1" outlineLevel="3" spans="1:7">
      <c r="A139" s="30" t="s">
        <v>230</v>
      </c>
      <c r="B139" s="31"/>
      <c r="C139" s="31"/>
      <c r="D139" s="32">
        <v>3510.94</v>
      </c>
      <c r="E139" s="32">
        <v>3510.94</v>
      </c>
      <c r="F139" s="31"/>
      <c r="G139" s="31"/>
    </row>
    <row r="140" s="11" customFormat="1" ht="37" customHeight="1" outlineLevel="3" spans="1:7">
      <c r="A140" s="30" t="s">
        <v>231</v>
      </c>
      <c r="B140" s="31"/>
      <c r="C140" s="31"/>
      <c r="D140" s="32">
        <v>10802.88</v>
      </c>
      <c r="E140" s="32">
        <v>10802.88</v>
      </c>
      <c r="F140" s="31"/>
      <c r="G140" s="31"/>
    </row>
    <row r="141" s="11" customFormat="1" ht="37" customHeight="1" outlineLevel="3" spans="1:7">
      <c r="A141" s="30" t="s">
        <v>232</v>
      </c>
      <c r="B141" s="31"/>
      <c r="C141" s="31"/>
      <c r="D141" s="32">
        <v>3510.94</v>
      </c>
      <c r="E141" s="32">
        <v>3510.94</v>
      </c>
      <c r="F141" s="31"/>
      <c r="G141" s="31"/>
    </row>
    <row r="142" s="11" customFormat="1" ht="37" customHeight="1" outlineLevel="3" spans="1:7">
      <c r="A142" s="30" t="s">
        <v>233</v>
      </c>
      <c r="B142" s="31"/>
      <c r="C142" s="31"/>
      <c r="D142" s="32">
        <v>3510.94</v>
      </c>
      <c r="E142" s="32">
        <v>3510.94</v>
      </c>
      <c r="F142" s="31"/>
      <c r="G142" s="31"/>
    </row>
    <row r="143" s="11" customFormat="1" ht="37" customHeight="1" outlineLevel="3" spans="1:7">
      <c r="A143" s="30" t="s">
        <v>234</v>
      </c>
      <c r="B143" s="31"/>
      <c r="C143" s="31"/>
      <c r="D143" s="32">
        <v>10059.46</v>
      </c>
      <c r="E143" s="32">
        <v>10059.46</v>
      </c>
      <c r="F143" s="31"/>
      <c r="G143" s="31"/>
    </row>
    <row r="144" s="11" customFormat="1" ht="37" customHeight="1" outlineLevel="3" spans="1:7">
      <c r="A144" s="30" t="s">
        <v>235</v>
      </c>
      <c r="B144" s="31"/>
      <c r="C144" s="31"/>
      <c r="D144" s="32">
        <v>10617.02</v>
      </c>
      <c r="E144" s="32">
        <v>10617.02</v>
      </c>
      <c r="F144" s="31"/>
      <c r="G144" s="31"/>
    </row>
    <row r="145" s="11" customFormat="1" ht="37" customHeight="1" outlineLevel="3" spans="1:7">
      <c r="A145" s="30" t="s">
        <v>236</v>
      </c>
      <c r="B145" s="31"/>
      <c r="C145" s="31"/>
      <c r="D145" s="32">
        <v>9362.5</v>
      </c>
      <c r="E145" s="32">
        <v>9362.5</v>
      </c>
      <c r="F145" s="31"/>
      <c r="G145" s="31"/>
    </row>
    <row r="146" s="11" customFormat="1" ht="37" customHeight="1" outlineLevel="3" spans="1:7">
      <c r="A146" s="30" t="s">
        <v>237</v>
      </c>
      <c r="B146" s="31"/>
      <c r="C146" s="31"/>
      <c r="D146" s="32">
        <v>3105.83</v>
      </c>
      <c r="E146" s="32">
        <v>3105.83</v>
      </c>
      <c r="F146" s="31"/>
      <c r="G146" s="31"/>
    </row>
    <row r="147" s="11" customFormat="1" ht="37" customHeight="1" outlineLevel="3" spans="1:7">
      <c r="A147" s="30" t="s">
        <v>238</v>
      </c>
      <c r="B147" s="31"/>
      <c r="C147" s="31"/>
      <c r="D147" s="32">
        <v>3021.61</v>
      </c>
      <c r="E147" s="32">
        <v>3021.61</v>
      </c>
      <c r="F147" s="31"/>
      <c r="G147" s="31"/>
    </row>
    <row r="148" s="11" customFormat="1" ht="37" customHeight="1" outlineLevel="3" spans="1:7">
      <c r="A148" s="30" t="s">
        <v>239</v>
      </c>
      <c r="B148" s="31"/>
      <c r="C148" s="31"/>
      <c r="D148" s="32">
        <v>3455.77</v>
      </c>
      <c r="E148" s="32">
        <v>3455.77</v>
      </c>
      <c r="F148" s="31"/>
      <c r="G148" s="31"/>
    </row>
    <row r="149" s="11" customFormat="1" ht="37" customHeight="1" outlineLevel="3" spans="1:7">
      <c r="A149" s="30" t="s">
        <v>240</v>
      </c>
      <c r="B149" s="31"/>
      <c r="C149" s="31"/>
      <c r="D149" s="32">
        <v>6751.8</v>
      </c>
      <c r="E149" s="32">
        <v>6751.8</v>
      </c>
      <c r="F149" s="31"/>
      <c r="G149" s="31"/>
    </row>
    <row r="150" s="11" customFormat="1" ht="37" customHeight="1" outlineLevel="3" spans="1:7">
      <c r="A150" s="30" t="s">
        <v>241</v>
      </c>
      <c r="B150" s="31"/>
      <c r="C150" s="31"/>
      <c r="D150" s="32">
        <v>3510.94</v>
      </c>
      <c r="E150" s="32">
        <v>3510.94</v>
      </c>
      <c r="F150" s="31"/>
      <c r="G150" s="31"/>
    </row>
    <row r="151" s="11" customFormat="1" ht="37" customHeight="1" outlineLevel="3" spans="1:7">
      <c r="A151" s="30" t="s">
        <v>242</v>
      </c>
      <c r="B151" s="31"/>
      <c r="C151" s="31"/>
      <c r="D151" s="32">
        <v>3510.94</v>
      </c>
      <c r="E151" s="32">
        <v>3510.94</v>
      </c>
      <c r="F151" s="31"/>
      <c r="G151" s="31"/>
    </row>
    <row r="152" s="11" customFormat="1" ht="37" customHeight="1" outlineLevel="3" spans="1:7">
      <c r="A152" s="30" t="s">
        <v>243</v>
      </c>
      <c r="B152" s="31"/>
      <c r="C152" s="31"/>
      <c r="D152" s="32">
        <v>10532.81</v>
      </c>
      <c r="E152" s="32">
        <v>10532.81</v>
      </c>
      <c r="F152" s="31"/>
      <c r="G152" s="31"/>
    </row>
    <row r="153" s="11" customFormat="1" ht="12" customHeight="1" outlineLevel="2" spans="1:7">
      <c r="A153" s="27" t="s">
        <v>258</v>
      </c>
      <c r="B153" s="28"/>
      <c r="C153" s="28"/>
      <c r="D153" s="29">
        <v>133900</v>
      </c>
      <c r="E153" s="28"/>
      <c r="F153" s="29">
        <v>133900</v>
      </c>
      <c r="G153" s="28"/>
    </row>
    <row r="154" s="11" customFormat="1" ht="37" customHeight="1" outlineLevel="3" spans="1:7">
      <c r="A154" s="30" t="s">
        <v>259</v>
      </c>
      <c r="B154" s="31"/>
      <c r="C154" s="31"/>
      <c r="D154" s="32">
        <v>27383.33</v>
      </c>
      <c r="E154" s="31"/>
      <c r="F154" s="32">
        <v>27383.33</v>
      </c>
      <c r="G154" s="31"/>
    </row>
    <row r="155" s="11" customFormat="1" ht="37" customHeight="1" outlineLevel="3" spans="1:7">
      <c r="A155" s="30" t="s">
        <v>260</v>
      </c>
      <c r="B155" s="31"/>
      <c r="C155" s="31"/>
      <c r="D155" s="32">
        <v>76750</v>
      </c>
      <c r="E155" s="31"/>
      <c r="F155" s="32">
        <v>76750</v>
      </c>
      <c r="G155" s="31"/>
    </row>
    <row r="156" s="11" customFormat="1" ht="37" customHeight="1" outlineLevel="3" spans="1:7">
      <c r="A156" s="30" t="s">
        <v>261</v>
      </c>
      <c r="B156" s="31"/>
      <c r="C156" s="31"/>
      <c r="D156" s="32">
        <v>29766.67</v>
      </c>
      <c r="E156" s="31"/>
      <c r="F156" s="32">
        <v>29766.67</v>
      </c>
      <c r="G156" s="31"/>
    </row>
    <row r="157" s="11" customFormat="1" ht="12" customHeight="1" outlineLevel="2" spans="1:7">
      <c r="A157" s="27" t="s">
        <v>262</v>
      </c>
      <c r="B157" s="29">
        <v>55211.53</v>
      </c>
      <c r="C157" s="28"/>
      <c r="D157" s="29">
        <v>26454.32</v>
      </c>
      <c r="E157" s="29">
        <v>81665.85</v>
      </c>
      <c r="F157" s="28"/>
      <c r="G157" s="28"/>
    </row>
    <row r="158" s="11" customFormat="1" ht="37" customHeight="1" outlineLevel="3" spans="1:7">
      <c r="A158" s="30" t="s">
        <v>263</v>
      </c>
      <c r="B158" s="32">
        <v>1670</v>
      </c>
      <c r="C158" s="31"/>
      <c r="D158" s="31"/>
      <c r="E158" s="32">
        <v>1670</v>
      </c>
      <c r="F158" s="31"/>
      <c r="G158" s="31"/>
    </row>
    <row r="159" s="11" customFormat="1" ht="37" customHeight="1" outlineLevel="3" spans="1:7">
      <c r="A159" s="30" t="s">
        <v>264</v>
      </c>
      <c r="B159" s="33">
        <v>60.67</v>
      </c>
      <c r="C159" s="31"/>
      <c r="D159" s="31"/>
      <c r="E159" s="33">
        <v>60.67</v>
      </c>
      <c r="F159" s="31"/>
      <c r="G159" s="31"/>
    </row>
    <row r="160" s="11" customFormat="1" ht="37" customHeight="1" outlineLevel="3" spans="1:7">
      <c r="A160" s="30" t="s">
        <v>265</v>
      </c>
      <c r="B160" s="32">
        <v>1670</v>
      </c>
      <c r="C160" s="31"/>
      <c r="D160" s="31"/>
      <c r="E160" s="32">
        <v>1670</v>
      </c>
      <c r="F160" s="31"/>
      <c r="G160" s="31"/>
    </row>
    <row r="161" s="11" customFormat="1" ht="37" customHeight="1" outlineLevel="3" spans="1:7">
      <c r="A161" s="30" t="s">
        <v>266</v>
      </c>
      <c r="B161" s="33">
        <v>61.5</v>
      </c>
      <c r="C161" s="31"/>
      <c r="D161" s="31"/>
      <c r="E161" s="33">
        <v>61.5</v>
      </c>
      <c r="F161" s="31"/>
      <c r="G161" s="31"/>
    </row>
    <row r="162" s="11" customFormat="1" ht="37" customHeight="1" outlineLevel="3" spans="1:7">
      <c r="A162" s="30" t="s">
        <v>267</v>
      </c>
      <c r="B162" s="32">
        <v>1670</v>
      </c>
      <c r="C162" s="31"/>
      <c r="D162" s="31"/>
      <c r="E162" s="32">
        <v>1670</v>
      </c>
      <c r="F162" s="31"/>
      <c r="G162" s="31"/>
    </row>
    <row r="163" s="11" customFormat="1" ht="37" customHeight="1" outlineLevel="3" spans="1:7">
      <c r="A163" s="30" t="s">
        <v>268</v>
      </c>
      <c r="B163" s="33">
        <v>161.33</v>
      </c>
      <c r="C163" s="31"/>
      <c r="D163" s="31"/>
      <c r="E163" s="33">
        <v>161.33</v>
      </c>
      <c r="F163" s="31"/>
      <c r="G163" s="31"/>
    </row>
    <row r="164" s="11" customFormat="1" ht="37" customHeight="1" outlineLevel="3" spans="1:7">
      <c r="A164" s="30" t="s">
        <v>269</v>
      </c>
      <c r="B164" s="32">
        <v>1670</v>
      </c>
      <c r="C164" s="31"/>
      <c r="D164" s="31"/>
      <c r="E164" s="32">
        <v>1670</v>
      </c>
      <c r="F164" s="31"/>
      <c r="G164" s="31"/>
    </row>
    <row r="165" s="11" customFormat="1" ht="37" customHeight="1" outlineLevel="3" spans="1:7">
      <c r="A165" s="30" t="s">
        <v>270</v>
      </c>
      <c r="B165" s="33">
        <v>160.5</v>
      </c>
      <c r="C165" s="31"/>
      <c r="D165" s="31"/>
      <c r="E165" s="33">
        <v>160.5</v>
      </c>
      <c r="F165" s="31"/>
      <c r="G165" s="31"/>
    </row>
    <row r="166" s="11" customFormat="1" ht="37" customHeight="1" outlineLevel="3" spans="1:7">
      <c r="A166" s="30" t="s">
        <v>271</v>
      </c>
      <c r="B166" s="32">
        <v>1670</v>
      </c>
      <c r="C166" s="31"/>
      <c r="D166" s="31"/>
      <c r="E166" s="32">
        <v>1670</v>
      </c>
      <c r="F166" s="31"/>
      <c r="G166" s="31"/>
    </row>
    <row r="167" s="11" customFormat="1" ht="37" customHeight="1" outlineLevel="3" spans="1:7">
      <c r="A167" s="30" t="s">
        <v>272</v>
      </c>
      <c r="B167" s="33">
        <v>159.17</v>
      </c>
      <c r="C167" s="31"/>
      <c r="D167" s="31"/>
      <c r="E167" s="33">
        <v>159.17</v>
      </c>
      <c r="F167" s="31"/>
      <c r="G167" s="31"/>
    </row>
    <row r="168" s="11" customFormat="1" ht="37" customHeight="1" outlineLevel="3" spans="1:7">
      <c r="A168" s="30" t="s">
        <v>273</v>
      </c>
      <c r="B168" s="32">
        <v>1670</v>
      </c>
      <c r="C168" s="31"/>
      <c r="D168" s="31"/>
      <c r="E168" s="32">
        <v>1670</v>
      </c>
      <c r="F168" s="31"/>
      <c r="G168" s="31"/>
    </row>
    <row r="169" s="11" customFormat="1" ht="37" customHeight="1" outlineLevel="3" spans="1:7">
      <c r="A169" s="30" t="s">
        <v>274</v>
      </c>
      <c r="B169" s="33">
        <v>230.67</v>
      </c>
      <c r="C169" s="31"/>
      <c r="D169" s="31"/>
      <c r="E169" s="33">
        <v>230.67</v>
      </c>
      <c r="F169" s="31"/>
      <c r="G169" s="31"/>
    </row>
    <row r="170" s="11" customFormat="1" ht="37" customHeight="1" outlineLevel="3" spans="1:7">
      <c r="A170" s="30" t="s">
        <v>275</v>
      </c>
      <c r="B170" s="32">
        <v>1670</v>
      </c>
      <c r="C170" s="31"/>
      <c r="D170" s="31"/>
      <c r="E170" s="32">
        <v>1670</v>
      </c>
      <c r="F170" s="31"/>
      <c r="G170" s="31"/>
    </row>
    <row r="171" s="11" customFormat="1" ht="37" customHeight="1" outlineLevel="3" spans="1:7">
      <c r="A171" s="30" t="s">
        <v>276</v>
      </c>
      <c r="B171" s="33">
        <v>186.5</v>
      </c>
      <c r="C171" s="31"/>
      <c r="D171" s="31"/>
      <c r="E171" s="33">
        <v>186.5</v>
      </c>
      <c r="F171" s="31"/>
      <c r="G171" s="31"/>
    </row>
    <row r="172" s="11" customFormat="1" ht="37" customHeight="1" outlineLevel="3" spans="1:7">
      <c r="A172" s="30" t="s">
        <v>277</v>
      </c>
      <c r="B172" s="32">
        <v>1670</v>
      </c>
      <c r="C172" s="31"/>
      <c r="D172" s="31"/>
      <c r="E172" s="32">
        <v>1670</v>
      </c>
      <c r="F172" s="31"/>
      <c r="G172" s="31"/>
    </row>
    <row r="173" s="11" customFormat="1" ht="37" customHeight="1" outlineLevel="3" spans="1:7">
      <c r="A173" s="30" t="s">
        <v>278</v>
      </c>
      <c r="B173" s="33">
        <v>154.17</v>
      </c>
      <c r="C173" s="31"/>
      <c r="D173" s="31"/>
      <c r="E173" s="33">
        <v>154.17</v>
      </c>
      <c r="F173" s="31"/>
      <c r="G173" s="31"/>
    </row>
    <row r="174" s="11" customFormat="1" ht="37" customHeight="1" outlineLevel="3" spans="1:7">
      <c r="A174" s="30" t="s">
        <v>279</v>
      </c>
      <c r="B174" s="32">
        <v>1670</v>
      </c>
      <c r="C174" s="31"/>
      <c r="D174" s="31"/>
      <c r="E174" s="32">
        <v>1670</v>
      </c>
      <c r="F174" s="31"/>
      <c r="G174" s="31"/>
    </row>
    <row r="175" s="11" customFormat="1" ht="37" customHeight="1" outlineLevel="3" spans="1:7">
      <c r="A175" s="30" t="s">
        <v>280</v>
      </c>
      <c r="B175" s="33">
        <v>150.17</v>
      </c>
      <c r="C175" s="31"/>
      <c r="D175" s="31"/>
      <c r="E175" s="33">
        <v>150.17</v>
      </c>
      <c r="F175" s="31"/>
      <c r="G175" s="31"/>
    </row>
    <row r="176" s="11" customFormat="1" ht="37" customHeight="1" outlineLevel="3" spans="1:7">
      <c r="A176" s="30" t="s">
        <v>281</v>
      </c>
      <c r="B176" s="32">
        <v>1670</v>
      </c>
      <c r="C176" s="31"/>
      <c r="D176" s="31"/>
      <c r="E176" s="32">
        <v>1670</v>
      </c>
      <c r="F176" s="31"/>
      <c r="G176" s="31"/>
    </row>
    <row r="177" s="11" customFormat="1" ht="37" customHeight="1" outlineLevel="3" spans="1:7">
      <c r="A177" s="30" t="s">
        <v>282</v>
      </c>
      <c r="B177" s="33">
        <v>61</v>
      </c>
      <c r="C177" s="31"/>
      <c r="D177" s="31"/>
      <c r="E177" s="33">
        <v>61</v>
      </c>
      <c r="F177" s="31"/>
      <c r="G177" s="31"/>
    </row>
    <row r="178" s="11" customFormat="1" ht="37" customHeight="1" outlineLevel="3" spans="1:7">
      <c r="A178" s="30" t="s">
        <v>283</v>
      </c>
      <c r="B178" s="32">
        <v>1670</v>
      </c>
      <c r="C178" s="31"/>
      <c r="D178" s="31"/>
      <c r="E178" s="32">
        <v>1670</v>
      </c>
      <c r="F178" s="31"/>
      <c r="G178" s="31"/>
    </row>
    <row r="179" s="11" customFormat="1" ht="37" customHeight="1" outlineLevel="3" spans="1:7">
      <c r="A179" s="30" t="s">
        <v>284</v>
      </c>
      <c r="B179" s="33">
        <v>61.17</v>
      </c>
      <c r="C179" s="31"/>
      <c r="D179" s="31"/>
      <c r="E179" s="33">
        <v>61.17</v>
      </c>
      <c r="F179" s="31"/>
      <c r="G179" s="31"/>
    </row>
    <row r="180" s="11" customFormat="1" ht="37" customHeight="1" outlineLevel="3" spans="1:7">
      <c r="A180" s="30" t="s">
        <v>285</v>
      </c>
      <c r="B180" s="32">
        <v>1809.17</v>
      </c>
      <c r="C180" s="31"/>
      <c r="D180" s="31"/>
      <c r="E180" s="32">
        <v>1809.17</v>
      </c>
      <c r="F180" s="31"/>
      <c r="G180" s="31"/>
    </row>
    <row r="181" s="11" customFormat="1" ht="37" customHeight="1" outlineLevel="3" spans="1:7">
      <c r="A181" s="30" t="s">
        <v>286</v>
      </c>
      <c r="B181" s="33">
        <v>67.17</v>
      </c>
      <c r="C181" s="31"/>
      <c r="D181" s="31"/>
      <c r="E181" s="33">
        <v>67.17</v>
      </c>
      <c r="F181" s="31"/>
      <c r="G181" s="31"/>
    </row>
    <row r="182" s="11" customFormat="1" ht="37" customHeight="1" outlineLevel="3" spans="1:7">
      <c r="A182" s="30" t="s">
        <v>287</v>
      </c>
      <c r="B182" s="32">
        <v>1809.17</v>
      </c>
      <c r="C182" s="31"/>
      <c r="D182" s="31"/>
      <c r="E182" s="32">
        <v>1809.17</v>
      </c>
      <c r="F182" s="31"/>
      <c r="G182" s="31"/>
    </row>
    <row r="183" s="11" customFormat="1" ht="37" customHeight="1" outlineLevel="3" spans="1:7">
      <c r="A183" s="30" t="s">
        <v>288</v>
      </c>
      <c r="B183" s="33">
        <v>69.17</v>
      </c>
      <c r="C183" s="31"/>
      <c r="D183" s="31"/>
      <c r="E183" s="33">
        <v>69.17</v>
      </c>
      <c r="F183" s="31"/>
      <c r="G183" s="31"/>
    </row>
    <row r="184" s="11" customFormat="1" ht="37" customHeight="1" outlineLevel="3" spans="1:7">
      <c r="A184" s="30" t="s">
        <v>289</v>
      </c>
      <c r="B184" s="32">
        <v>1809.17</v>
      </c>
      <c r="C184" s="31"/>
      <c r="D184" s="31"/>
      <c r="E184" s="32">
        <v>1809.17</v>
      </c>
      <c r="F184" s="31"/>
      <c r="G184" s="31"/>
    </row>
    <row r="185" s="11" customFormat="1" ht="37" customHeight="1" outlineLevel="3" spans="1:7">
      <c r="A185" s="30" t="s">
        <v>290</v>
      </c>
      <c r="B185" s="33">
        <v>68.83</v>
      </c>
      <c r="C185" s="31"/>
      <c r="D185" s="31"/>
      <c r="E185" s="33">
        <v>68.83</v>
      </c>
      <c r="F185" s="31"/>
      <c r="G185" s="31"/>
    </row>
    <row r="186" s="11" customFormat="1" ht="37" customHeight="1" outlineLevel="3" spans="1:7">
      <c r="A186" s="30" t="s">
        <v>291</v>
      </c>
      <c r="B186" s="32">
        <v>1809.17</v>
      </c>
      <c r="C186" s="31"/>
      <c r="D186" s="31"/>
      <c r="E186" s="32">
        <v>1809.17</v>
      </c>
      <c r="F186" s="31"/>
      <c r="G186" s="31"/>
    </row>
    <row r="187" s="11" customFormat="1" ht="37" customHeight="1" outlineLevel="3" spans="1:7">
      <c r="A187" s="30" t="s">
        <v>292</v>
      </c>
      <c r="B187" s="33">
        <v>169.33</v>
      </c>
      <c r="C187" s="31"/>
      <c r="D187" s="31"/>
      <c r="E187" s="33">
        <v>169.33</v>
      </c>
      <c r="F187" s="31"/>
      <c r="G187" s="31"/>
    </row>
    <row r="188" s="11" customFormat="1" ht="37" customHeight="1" outlineLevel="3" spans="1:7">
      <c r="A188" s="30" t="s">
        <v>293</v>
      </c>
      <c r="B188" s="32">
        <v>1809.17</v>
      </c>
      <c r="C188" s="31"/>
      <c r="D188" s="31"/>
      <c r="E188" s="32">
        <v>1809.17</v>
      </c>
      <c r="F188" s="31"/>
      <c r="G188" s="31"/>
    </row>
    <row r="189" s="11" customFormat="1" ht="37" customHeight="1" outlineLevel="3" spans="1:7">
      <c r="A189" s="30" t="s">
        <v>294</v>
      </c>
      <c r="B189" s="33">
        <v>174.33</v>
      </c>
      <c r="C189" s="31"/>
      <c r="D189" s="31"/>
      <c r="E189" s="33">
        <v>174.33</v>
      </c>
      <c r="F189" s="31"/>
      <c r="G189" s="31"/>
    </row>
    <row r="190" s="11" customFormat="1" ht="37" customHeight="1" outlineLevel="3" spans="1:7">
      <c r="A190" s="30" t="s">
        <v>295</v>
      </c>
      <c r="B190" s="32">
        <v>1809.17</v>
      </c>
      <c r="C190" s="31"/>
      <c r="D190" s="31"/>
      <c r="E190" s="32">
        <v>1809.17</v>
      </c>
      <c r="F190" s="31"/>
      <c r="G190" s="31"/>
    </row>
    <row r="191" s="11" customFormat="1" ht="37" customHeight="1" outlineLevel="3" spans="1:7">
      <c r="A191" s="30" t="s">
        <v>296</v>
      </c>
      <c r="B191" s="33">
        <v>218.83</v>
      </c>
      <c r="C191" s="31"/>
      <c r="D191" s="31"/>
      <c r="E191" s="33">
        <v>218.83</v>
      </c>
      <c r="F191" s="31"/>
      <c r="G191" s="31"/>
    </row>
    <row r="192" s="11" customFormat="1" ht="37" customHeight="1" outlineLevel="3" spans="1:7">
      <c r="A192" s="30" t="s">
        <v>297</v>
      </c>
      <c r="B192" s="32">
        <v>1809.17</v>
      </c>
      <c r="C192" s="31"/>
      <c r="D192" s="31"/>
      <c r="E192" s="32">
        <v>1809.17</v>
      </c>
      <c r="F192" s="31"/>
      <c r="G192" s="31"/>
    </row>
    <row r="193" s="11" customFormat="1" ht="37" customHeight="1" outlineLevel="3" spans="1:7">
      <c r="A193" s="30" t="s">
        <v>298</v>
      </c>
      <c r="B193" s="33">
        <v>231.5</v>
      </c>
      <c r="C193" s="31"/>
      <c r="D193" s="31"/>
      <c r="E193" s="33">
        <v>231.5</v>
      </c>
      <c r="F193" s="31"/>
      <c r="G193" s="31"/>
    </row>
    <row r="194" s="11" customFormat="1" ht="37" customHeight="1" outlineLevel="3" spans="1:7">
      <c r="A194" s="30" t="s">
        <v>299</v>
      </c>
      <c r="B194" s="32">
        <v>1809.17</v>
      </c>
      <c r="C194" s="31"/>
      <c r="D194" s="31"/>
      <c r="E194" s="32">
        <v>1809.17</v>
      </c>
      <c r="F194" s="31"/>
      <c r="G194" s="31"/>
    </row>
    <row r="195" s="11" customFormat="1" ht="37" customHeight="1" outlineLevel="3" spans="1:7">
      <c r="A195" s="30" t="s">
        <v>300</v>
      </c>
      <c r="B195" s="33">
        <v>215.67</v>
      </c>
      <c r="C195" s="31"/>
      <c r="D195" s="31"/>
      <c r="E195" s="33">
        <v>215.67</v>
      </c>
      <c r="F195" s="31"/>
      <c r="G195" s="31"/>
    </row>
    <row r="196" s="11" customFormat="1" ht="37" customHeight="1" outlineLevel="3" spans="1:7">
      <c r="A196" s="30" t="s">
        <v>301</v>
      </c>
      <c r="B196" s="32">
        <v>1809.17</v>
      </c>
      <c r="C196" s="31"/>
      <c r="D196" s="31"/>
      <c r="E196" s="32">
        <v>1809.17</v>
      </c>
      <c r="F196" s="31"/>
      <c r="G196" s="31"/>
    </row>
    <row r="197" s="11" customFormat="1" ht="37" customHeight="1" outlineLevel="3" spans="1:7">
      <c r="A197" s="30" t="s">
        <v>302</v>
      </c>
      <c r="B197" s="33">
        <v>202.17</v>
      </c>
      <c r="C197" s="31"/>
      <c r="D197" s="31"/>
      <c r="E197" s="33">
        <v>202.17</v>
      </c>
      <c r="F197" s="31"/>
      <c r="G197" s="31"/>
    </row>
    <row r="198" s="11" customFormat="1" ht="37" customHeight="1" outlineLevel="3" spans="1:7">
      <c r="A198" s="30" t="s">
        <v>303</v>
      </c>
      <c r="B198" s="32">
        <v>1809.17</v>
      </c>
      <c r="C198" s="31"/>
      <c r="D198" s="31"/>
      <c r="E198" s="32">
        <v>1809.17</v>
      </c>
      <c r="F198" s="31"/>
      <c r="G198" s="31"/>
    </row>
    <row r="199" s="11" customFormat="1" ht="37" customHeight="1" outlineLevel="3" spans="1:7">
      <c r="A199" s="30" t="s">
        <v>304</v>
      </c>
      <c r="B199" s="33">
        <v>133</v>
      </c>
      <c r="C199" s="31"/>
      <c r="D199" s="31"/>
      <c r="E199" s="33">
        <v>133</v>
      </c>
      <c r="F199" s="31"/>
      <c r="G199" s="31"/>
    </row>
    <row r="200" s="11" customFormat="1" ht="37" customHeight="1" outlineLevel="3" spans="1:7">
      <c r="A200" s="30" t="s">
        <v>305</v>
      </c>
      <c r="B200" s="32">
        <v>1809.17</v>
      </c>
      <c r="C200" s="31"/>
      <c r="D200" s="31"/>
      <c r="E200" s="32">
        <v>1809.17</v>
      </c>
      <c r="F200" s="31"/>
      <c r="G200" s="31"/>
    </row>
    <row r="201" s="11" customFormat="1" ht="37" customHeight="1" outlineLevel="3" spans="1:7">
      <c r="A201" s="30" t="s">
        <v>306</v>
      </c>
      <c r="B201" s="33">
        <v>70.67</v>
      </c>
      <c r="C201" s="31"/>
      <c r="D201" s="31"/>
      <c r="E201" s="33">
        <v>70.67</v>
      </c>
      <c r="F201" s="31"/>
      <c r="G201" s="31"/>
    </row>
    <row r="202" s="11" customFormat="1" ht="37" customHeight="1" outlineLevel="3" spans="1:7">
      <c r="A202" s="30" t="s">
        <v>307</v>
      </c>
      <c r="B202" s="32">
        <v>1864.83</v>
      </c>
      <c r="C202" s="31"/>
      <c r="D202" s="31"/>
      <c r="E202" s="32">
        <v>1864.83</v>
      </c>
      <c r="F202" s="31"/>
      <c r="G202" s="31"/>
    </row>
    <row r="203" s="11" customFormat="1" ht="37" customHeight="1" outlineLevel="3" spans="1:7">
      <c r="A203" s="30" t="s">
        <v>308</v>
      </c>
      <c r="B203" s="33">
        <v>72.5</v>
      </c>
      <c r="C203" s="31"/>
      <c r="D203" s="31"/>
      <c r="E203" s="33">
        <v>72.5</v>
      </c>
      <c r="F203" s="31"/>
      <c r="G203" s="31"/>
    </row>
    <row r="204" s="11" customFormat="1" ht="37" customHeight="1" outlineLevel="3" spans="1:7">
      <c r="A204" s="30" t="s">
        <v>309</v>
      </c>
      <c r="B204" s="32">
        <v>1864.83</v>
      </c>
      <c r="C204" s="31"/>
      <c r="D204" s="31"/>
      <c r="E204" s="32">
        <v>1864.83</v>
      </c>
      <c r="F204" s="31"/>
      <c r="G204" s="31"/>
    </row>
    <row r="205" s="11" customFormat="1" ht="37" customHeight="1" outlineLevel="3" spans="1:7">
      <c r="A205" s="30" t="s">
        <v>310</v>
      </c>
      <c r="B205" s="33">
        <v>78</v>
      </c>
      <c r="C205" s="31"/>
      <c r="D205" s="31"/>
      <c r="E205" s="33">
        <v>78</v>
      </c>
      <c r="F205" s="31"/>
      <c r="G205" s="31"/>
    </row>
    <row r="206" s="11" customFormat="1" ht="37" customHeight="1" outlineLevel="3" spans="1:7">
      <c r="A206" s="30" t="s">
        <v>311</v>
      </c>
      <c r="B206" s="32">
        <v>1864.83</v>
      </c>
      <c r="C206" s="31"/>
      <c r="D206" s="31"/>
      <c r="E206" s="32">
        <v>1864.83</v>
      </c>
      <c r="F206" s="31"/>
      <c r="G206" s="31"/>
    </row>
    <row r="207" s="11" customFormat="1" ht="37" customHeight="1" outlineLevel="3" spans="1:7">
      <c r="A207" s="30" t="s">
        <v>312</v>
      </c>
      <c r="B207" s="33">
        <v>76.83</v>
      </c>
      <c r="C207" s="31"/>
      <c r="D207" s="31"/>
      <c r="E207" s="33">
        <v>76.83</v>
      </c>
      <c r="F207" s="31"/>
      <c r="G207" s="31"/>
    </row>
    <row r="208" s="11" customFormat="1" ht="37" customHeight="1" outlineLevel="3" spans="1:7">
      <c r="A208" s="30" t="s">
        <v>313</v>
      </c>
      <c r="B208" s="32">
        <v>1864.83</v>
      </c>
      <c r="C208" s="31"/>
      <c r="D208" s="31"/>
      <c r="E208" s="32">
        <v>1864.83</v>
      </c>
      <c r="F208" s="31"/>
      <c r="G208" s="31"/>
    </row>
    <row r="209" s="11" customFormat="1" ht="37" customHeight="1" outlineLevel="3" spans="1:7">
      <c r="A209" s="30" t="s">
        <v>314</v>
      </c>
      <c r="B209" s="33">
        <v>74.5</v>
      </c>
      <c r="C209" s="31"/>
      <c r="D209" s="31"/>
      <c r="E209" s="33">
        <v>74.5</v>
      </c>
      <c r="F209" s="31"/>
      <c r="G209" s="31"/>
    </row>
    <row r="210" s="11" customFormat="1" ht="37" customHeight="1" outlineLevel="3" spans="1:7">
      <c r="A210" s="30" t="s">
        <v>315</v>
      </c>
      <c r="B210" s="32">
        <v>1864.83</v>
      </c>
      <c r="C210" s="31"/>
      <c r="D210" s="31"/>
      <c r="E210" s="32">
        <v>1864.83</v>
      </c>
      <c r="F210" s="31"/>
      <c r="G210" s="31"/>
    </row>
    <row r="211" s="11" customFormat="1" ht="37" customHeight="1" outlineLevel="3" spans="1:7">
      <c r="A211" s="30" t="s">
        <v>316</v>
      </c>
      <c r="B211" s="33">
        <v>134.5</v>
      </c>
      <c r="C211" s="31"/>
      <c r="D211" s="31"/>
      <c r="E211" s="33">
        <v>134.5</v>
      </c>
      <c r="F211" s="31"/>
      <c r="G211" s="31"/>
    </row>
    <row r="212" s="11" customFormat="1" ht="37" customHeight="1" outlineLevel="3" spans="1:7">
      <c r="A212" s="30" t="s">
        <v>317</v>
      </c>
      <c r="B212" s="32">
        <v>1864.83</v>
      </c>
      <c r="C212" s="31"/>
      <c r="D212" s="31"/>
      <c r="E212" s="32">
        <v>1864.83</v>
      </c>
      <c r="F212" s="31"/>
      <c r="G212" s="31"/>
    </row>
    <row r="213" s="11" customFormat="1" ht="37" customHeight="1" outlineLevel="3" spans="1:7">
      <c r="A213" s="30" t="s">
        <v>318</v>
      </c>
      <c r="B213" s="33">
        <v>180.33</v>
      </c>
      <c r="C213" s="31"/>
      <c r="D213" s="31"/>
      <c r="E213" s="33">
        <v>180.33</v>
      </c>
      <c r="F213" s="31"/>
      <c r="G213" s="31"/>
    </row>
    <row r="214" s="11" customFormat="1" ht="37" customHeight="1" outlineLevel="3" spans="1:7">
      <c r="A214" s="30" t="s">
        <v>319</v>
      </c>
      <c r="B214" s="32">
        <v>1864.83</v>
      </c>
      <c r="C214" s="31"/>
      <c r="D214" s="31"/>
      <c r="E214" s="32">
        <v>1864.83</v>
      </c>
      <c r="F214" s="31"/>
      <c r="G214" s="31"/>
    </row>
    <row r="215" s="11" customFormat="1" ht="37" customHeight="1" outlineLevel="3" spans="1:7">
      <c r="A215" s="30" t="s">
        <v>320</v>
      </c>
      <c r="B215" s="33">
        <v>202.67</v>
      </c>
      <c r="C215" s="31"/>
      <c r="D215" s="31"/>
      <c r="E215" s="33">
        <v>202.67</v>
      </c>
      <c r="F215" s="31"/>
      <c r="G215" s="31"/>
    </row>
    <row r="216" s="11" customFormat="1" ht="37" customHeight="1" outlineLevel="3" spans="1:7">
      <c r="A216" s="30" t="s">
        <v>321</v>
      </c>
      <c r="B216" s="31"/>
      <c r="C216" s="31"/>
      <c r="D216" s="32">
        <v>1864.83</v>
      </c>
      <c r="E216" s="32">
        <v>1864.83</v>
      </c>
      <c r="F216" s="31"/>
      <c r="G216" s="31"/>
    </row>
    <row r="217" s="11" customFormat="1" ht="37" customHeight="1" outlineLevel="3" spans="1:7">
      <c r="A217" s="30" t="s">
        <v>322</v>
      </c>
      <c r="B217" s="31"/>
      <c r="C217" s="31"/>
      <c r="D217" s="33">
        <v>214.5</v>
      </c>
      <c r="E217" s="33">
        <v>214.5</v>
      </c>
      <c r="F217" s="31"/>
      <c r="G217" s="31"/>
    </row>
    <row r="218" s="11" customFormat="1" ht="37" customHeight="1" outlineLevel="3" spans="1:7">
      <c r="A218" s="30" t="s">
        <v>323</v>
      </c>
      <c r="B218" s="31"/>
      <c r="C218" s="31"/>
      <c r="D218" s="32">
        <v>1864.83</v>
      </c>
      <c r="E218" s="32">
        <v>1864.83</v>
      </c>
      <c r="F218" s="31"/>
      <c r="G218" s="31"/>
    </row>
    <row r="219" s="11" customFormat="1" ht="37" customHeight="1" outlineLevel="3" spans="1:7">
      <c r="A219" s="30" t="s">
        <v>324</v>
      </c>
      <c r="B219" s="31"/>
      <c r="C219" s="31"/>
      <c r="D219" s="33">
        <v>211.17</v>
      </c>
      <c r="E219" s="33">
        <v>211.17</v>
      </c>
      <c r="F219" s="31"/>
      <c r="G219" s="31"/>
    </row>
    <row r="220" s="11" customFormat="1" ht="37" customHeight="1" outlineLevel="3" spans="1:7">
      <c r="A220" s="30" t="s">
        <v>325</v>
      </c>
      <c r="B220" s="31"/>
      <c r="C220" s="31"/>
      <c r="D220" s="32">
        <v>1864.83</v>
      </c>
      <c r="E220" s="32">
        <v>1864.83</v>
      </c>
      <c r="F220" s="31"/>
      <c r="G220" s="31"/>
    </row>
    <row r="221" s="11" customFormat="1" ht="37" customHeight="1" outlineLevel="3" spans="1:7">
      <c r="A221" s="30" t="s">
        <v>326</v>
      </c>
      <c r="B221" s="31"/>
      <c r="C221" s="31"/>
      <c r="D221" s="33">
        <v>172.83</v>
      </c>
      <c r="E221" s="33">
        <v>172.83</v>
      </c>
      <c r="F221" s="31"/>
      <c r="G221" s="31"/>
    </row>
    <row r="222" s="11" customFormat="1" ht="37" customHeight="1" outlineLevel="3" spans="1:7">
      <c r="A222" s="30" t="s">
        <v>327</v>
      </c>
      <c r="B222" s="31"/>
      <c r="C222" s="31"/>
      <c r="D222" s="32">
        <v>1864.83</v>
      </c>
      <c r="E222" s="32">
        <v>1864.83</v>
      </c>
      <c r="F222" s="31"/>
      <c r="G222" s="31"/>
    </row>
    <row r="223" s="11" customFormat="1" ht="37" customHeight="1" outlineLevel="3" spans="1:7">
      <c r="A223" s="30" t="s">
        <v>328</v>
      </c>
      <c r="B223" s="31"/>
      <c r="C223" s="31"/>
      <c r="D223" s="33">
        <v>100.33</v>
      </c>
      <c r="E223" s="33">
        <v>100.33</v>
      </c>
      <c r="F223" s="31"/>
      <c r="G223" s="31"/>
    </row>
    <row r="224" s="11" customFormat="1" ht="37" customHeight="1" outlineLevel="3" spans="1:7">
      <c r="A224" s="30" t="s">
        <v>329</v>
      </c>
      <c r="B224" s="31"/>
      <c r="C224" s="31"/>
      <c r="D224" s="32">
        <v>2087.5</v>
      </c>
      <c r="E224" s="32">
        <v>2087.5</v>
      </c>
      <c r="F224" s="31"/>
      <c r="G224" s="31"/>
    </row>
    <row r="225" s="11" customFormat="1" ht="37" customHeight="1" outlineLevel="3" spans="1:7">
      <c r="A225" s="30" t="s">
        <v>330</v>
      </c>
      <c r="B225" s="31"/>
      <c r="C225" s="31"/>
      <c r="D225" s="33">
        <v>156.83</v>
      </c>
      <c r="E225" s="33">
        <v>156.83</v>
      </c>
      <c r="F225" s="31"/>
      <c r="G225" s="31"/>
    </row>
    <row r="226" s="11" customFormat="1" ht="37" customHeight="1" outlineLevel="3" spans="1:7">
      <c r="A226" s="30" t="s">
        <v>331</v>
      </c>
      <c r="B226" s="31"/>
      <c r="C226" s="31"/>
      <c r="D226" s="32">
        <v>2087.5</v>
      </c>
      <c r="E226" s="32">
        <v>2087.5</v>
      </c>
      <c r="F226" s="31"/>
      <c r="G226" s="31"/>
    </row>
    <row r="227" s="11" customFormat="1" ht="37" customHeight="1" outlineLevel="3" spans="1:7">
      <c r="A227" s="30" t="s">
        <v>332</v>
      </c>
      <c r="B227" s="31"/>
      <c r="C227" s="31"/>
      <c r="D227" s="33">
        <v>157.67</v>
      </c>
      <c r="E227" s="33">
        <v>157.67</v>
      </c>
      <c r="F227" s="31"/>
      <c r="G227" s="31"/>
    </row>
    <row r="228" s="11" customFormat="1" ht="37" customHeight="1" outlineLevel="3" spans="1:7">
      <c r="A228" s="30" t="s">
        <v>333</v>
      </c>
      <c r="B228" s="31"/>
      <c r="C228" s="31"/>
      <c r="D228" s="32">
        <v>2087.5</v>
      </c>
      <c r="E228" s="32">
        <v>2087.5</v>
      </c>
      <c r="F228" s="31"/>
      <c r="G228" s="31"/>
    </row>
    <row r="229" s="11" customFormat="1" ht="37" customHeight="1" outlineLevel="3" spans="1:7">
      <c r="A229" s="30" t="s">
        <v>334</v>
      </c>
      <c r="B229" s="31"/>
      <c r="C229" s="31"/>
      <c r="D229" s="33">
        <v>170.33</v>
      </c>
      <c r="E229" s="33">
        <v>170.33</v>
      </c>
      <c r="F229" s="31"/>
      <c r="G229" s="31"/>
    </row>
    <row r="230" s="11" customFormat="1" ht="37" customHeight="1" outlineLevel="3" spans="1:7">
      <c r="A230" s="30" t="s">
        <v>335</v>
      </c>
      <c r="B230" s="31"/>
      <c r="C230" s="31"/>
      <c r="D230" s="32">
        <v>2087.5</v>
      </c>
      <c r="E230" s="32">
        <v>2087.5</v>
      </c>
      <c r="F230" s="31"/>
      <c r="G230" s="31"/>
    </row>
    <row r="231" s="11" customFormat="1" ht="37" customHeight="1" outlineLevel="3" spans="1:7">
      <c r="A231" s="30" t="s">
        <v>336</v>
      </c>
      <c r="B231" s="31"/>
      <c r="C231" s="31"/>
      <c r="D231" s="33">
        <v>166.83</v>
      </c>
      <c r="E231" s="33">
        <v>166.83</v>
      </c>
      <c r="F231" s="31"/>
      <c r="G231" s="31"/>
    </row>
    <row r="232" s="11" customFormat="1" ht="37" customHeight="1" outlineLevel="3" spans="1:7">
      <c r="A232" s="30" t="s">
        <v>337</v>
      </c>
      <c r="B232" s="31"/>
      <c r="C232" s="31"/>
      <c r="D232" s="32">
        <v>2087.5</v>
      </c>
      <c r="E232" s="32">
        <v>2087.5</v>
      </c>
      <c r="F232" s="31"/>
      <c r="G232" s="31"/>
    </row>
    <row r="233" s="11" customFormat="1" ht="37" customHeight="1" outlineLevel="3" spans="1:7">
      <c r="A233" s="30" t="s">
        <v>338</v>
      </c>
      <c r="B233" s="31"/>
      <c r="C233" s="31"/>
      <c r="D233" s="33">
        <v>166.67</v>
      </c>
      <c r="E233" s="33">
        <v>166.67</v>
      </c>
      <c r="F233" s="31"/>
      <c r="G233" s="31"/>
    </row>
    <row r="234" s="11" customFormat="1" ht="37" customHeight="1" outlineLevel="3" spans="1:7">
      <c r="A234" s="30" t="s">
        <v>339</v>
      </c>
      <c r="B234" s="31"/>
      <c r="C234" s="31"/>
      <c r="D234" s="32">
        <v>2087.5</v>
      </c>
      <c r="E234" s="32">
        <v>2087.5</v>
      </c>
      <c r="F234" s="31"/>
      <c r="G234" s="31"/>
    </row>
    <row r="235" s="11" customFormat="1" ht="37" customHeight="1" outlineLevel="3" spans="1:7">
      <c r="A235" s="30" t="s">
        <v>340</v>
      </c>
      <c r="B235" s="31"/>
      <c r="C235" s="31"/>
      <c r="D235" s="33">
        <v>214.5</v>
      </c>
      <c r="E235" s="33">
        <v>214.5</v>
      </c>
      <c r="F235" s="31"/>
      <c r="G235" s="31"/>
    </row>
    <row r="236" s="11" customFormat="1" ht="37" customHeight="1" outlineLevel="3" spans="1:7">
      <c r="A236" s="30" t="s">
        <v>341</v>
      </c>
      <c r="B236" s="31"/>
      <c r="C236" s="31"/>
      <c r="D236" s="32">
        <v>2087.5</v>
      </c>
      <c r="E236" s="32">
        <v>2087.5</v>
      </c>
      <c r="F236" s="31"/>
      <c r="G236" s="31"/>
    </row>
    <row r="237" s="11" customFormat="1" ht="37" customHeight="1" outlineLevel="3" spans="1:7">
      <c r="A237" s="30" t="s">
        <v>342</v>
      </c>
      <c r="B237" s="31"/>
      <c r="C237" s="31"/>
      <c r="D237" s="33">
        <v>278.67</v>
      </c>
      <c r="E237" s="33">
        <v>278.67</v>
      </c>
      <c r="F237" s="31"/>
      <c r="G237" s="31"/>
    </row>
    <row r="238" s="11" customFormat="1" ht="37" customHeight="1" outlineLevel="3" spans="1:7">
      <c r="A238" s="30" t="s">
        <v>343</v>
      </c>
      <c r="B238" s="31"/>
      <c r="C238" s="31"/>
      <c r="D238" s="32">
        <v>2087.5</v>
      </c>
      <c r="E238" s="32">
        <v>2087.5</v>
      </c>
      <c r="F238" s="31"/>
      <c r="G238" s="31"/>
    </row>
    <row r="239" s="11" customFormat="1" ht="37" customHeight="1" outlineLevel="3" spans="1:7">
      <c r="A239" s="30" t="s">
        <v>344</v>
      </c>
      <c r="B239" s="31"/>
      <c r="C239" s="31"/>
      <c r="D239" s="33">
        <v>284.67</v>
      </c>
      <c r="E239" s="33">
        <v>284.67</v>
      </c>
      <c r="F239" s="31"/>
      <c r="G239" s="31"/>
    </row>
    <row r="240" s="11" customFormat="1" ht="13" customHeight="1" spans="1:7">
      <c r="A240" s="35" t="s">
        <v>345</v>
      </c>
      <c r="B240" s="36">
        <v>55211.53</v>
      </c>
      <c r="C240" s="37"/>
      <c r="D240" s="36">
        <v>5249802.53</v>
      </c>
      <c r="E240" s="36">
        <v>4584774.56</v>
      </c>
      <c r="F240" s="36">
        <v>720239.5</v>
      </c>
      <c r="G240" s="37"/>
    </row>
  </sheetData>
  <mergeCells count="11">
    <mergeCell ref="A1:G1"/>
    <mergeCell ref="A4:G4"/>
    <mergeCell ref="B6:C6"/>
    <mergeCell ref="D6:E6"/>
    <mergeCell ref="F6:G6"/>
    <mergeCell ref="B7:B8"/>
    <mergeCell ref="C7:C8"/>
    <mergeCell ref="D7:D8"/>
    <mergeCell ref="E7:E8"/>
    <mergeCell ref="F7:F8"/>
    <mergeCell ref="G7:G8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0"/>
  <sheetViews>
    <sheetView showGridLines="0" workbookViewId="0">
      <selection activeCell="J12" sqref="J12"/>
    </sheetView>
  </sheetViews>
  <sheetFormatPr defaultColWidth="8.88461538461539" defaultRowHeight="11.45" customHeight="1" outlineLevelCol="6"/>
  <cols>
    <col min="1" max="1" width="29.6153846153846" style="12" customWidth="1"/>
    <col min="2" max="7" width="15.7980769230769" style="12" customWidth="1"/>
    <col min="8" max="16384" width="8.88461538461539" style="11"/>
  </cols>
  <sheetData>
    <row r="1" s="11" customFormat="1" ht="26" customHeight="1" spans="1:7">
      <c r="A1" s="13" t="s">
        <v>164</v>
      </c>
      <c r="B1" s="13"/>
      <c r="C1" s="13"/>
      <c r="D1" s="13"/>
      <c r="E1" s="13"/>
      <c r="F1" s="13"/>
      <c r="G1" s="13"/>
    </row>
    <row r="2" s="11" customFormat="1" ht="16" customHeight="1" spans="1:7">
      <c r="A2" s="14" t="s">
        <v>165</v>
      </c>
      <c r="B2" s="15"/>
      <c r="C2" s="15"/>
      <c r="D2" s="15"/>
      <c r="E2" s="12"/>
      <c r="F2" s="12"/>
      <c r="G2" s="12"/>
    </row>
    <row r="3" s="12" customFormat="1" ht="2" customHeight="1"/>
    <row r="4" s="11" customFormat="1" ht="11" customHeight="1" spans="1:7">
      <c r="A4" s="16" t="s">
        <v>166</v>
      </c>
      <c r="B4" s="17"/>
      <c r="C4" s="18"/>
      <c r="D4" s="18"/>
      <c r="E4" s="18"/>
      <c r="F4" s="18"/>
      <c r="G4" s="18"/>
    </row>
    <row r="5" s="12" customFormat="1" ht="2" customHeight="1" spans="1:7">
      <c r="A5" s="16"/>
      <c r="B5" s="16"/>
      <c r="C5" s="15"/>
      <c r="D5" s="15"/>
      <c r="E5" s="15"/>
      <c r="F5" s="15"/>
      <c r="G5" s="15"/>
    </row>
    <row r="6" s="11" customFormat="1" ht="13" customHeight="1" spans="1:7">
      <c r="A6" s="19" t="s">
        <v>167</v>
      </c>
      <c r="B6" s="20" t="s">
        <v>168</v>
      </c>
      <c r="C6" s="20"/>
      <c r="D6" s="20" t="s">
        <v>169</v>
      </c>
      <c r="E6" s="20"/>
      <c r="F6" s="20" t="s">
        <v>170</v>
      </c>
      <c r="G6" s="20"/>
    </row>
    <row r="7" s="11" customFormat="1" ht="13" customHeight="1" spans="1:7">
      <c r="A7" s="19" t="s">
        <v>171</v>
      </c>
      <c r="B7" s="21" t="s">
        <v>172</v>
      </c>
      <c r="C7" s="21" t="s">
        <v>173</v>
      </c>
      <c r="D7" s="21" t="s">
        <v>172</v>
      </c>
      <c r="E7" s="21" t="s">
        <v>173</v>
      </c>
      <c r="F7" s="21" t="s">
        <v>172</v>
      </c>
      <c r="G7" s="21" t="s">
        <v>173</v>
      </c>
    </row>
    <row r="8" s="11" customFormat="1" ht="13" customHeight="1" spans="1:7">
      <c r="A8" s="19" t="s">
        <v>174</v>
      </c>
      <c r="B8" s="22"/>
      <c r="C8" s="22"/>
      <c r="D8" s="22"/>
      <c r="E8" s="22"/>
      <c r="F8" s="22"/>
      <c r="G8" s="22"/>
    </row>
    <row r="9" s="11" customFormat="1" ht="13" customHeight="1" spans="1:7">
      <c r="A9" s="23" t="s">
        <v>175</v>
      </c>
      <c r="B9" s="24">
        <v>720239.5</v>
      </c>
      <c r="C9" s="25"/>
      <c r="D9" s="24">
        <v>35382118.31</v>
      </c>
      <c r="E9" s="24">
        <v>20561546.48</v>
      </c>
      <c r="F9" s="24">
        <v>15540811.33</v>
      </c>
      <c r="G9" s="25"/>
    </row>
    <row r="10" s="11" customFormat="1" ht="13" customHeight="1" outlineLevel="1" spans="1:7">
      <c r="A10" s="26" t="s">
        <v>176</v>
      </c>
      <c r="B10" s="24">
        <v>535000</v>
      </c>
      <c r="C10" s="25"/>
      <c r="D10" s="24">
        <v>455438.19</v>
      </c>
      <c r="E10" s="24">
        <v>990438.19</v>
      </c>
      <c r="F10" s="25"/>
      <c r="G10" s="25"/>
    </row>
    <row r="11" s="11" customFormat="1" ht="12" customHeight="1" outlineLevel="2" spans="1:7">
      <c r="A11" s="27" t="s">
        <v>346</v>
      </c>
      <c r="B11" s="28"/>
      <c r="C11" s="28"/>
      <c r="D11" s="29">
        <v>105813.32</v>
      </c>
      <c r="E11" s="29">
        <v>105813.32</v>
      </c>
      <c r="F11" s="28"/>
      <c r="G11" s="28"/>
    </row>
    <row r="12" s="11" customFormat="1" ht="37" customHeight="1" outlineLevel="3" spans="1:7">
      <c r="A12" s="30" t="s">
        <v>347</v>
      </c>
      <c r="B12" s="31"/>
      <c r="C12" s="31"/>
      <c r="D12" s="32">
        <v>105813.32</v>
      </c>
      <c r="E12" s="32">
        <v>105813.32</v>
      </c>
      <c r="F12" s="31"/>
      <c r="G12" s="31"/>
    </row>
    <row r="13" s="11" customFormat="1" ht="12" customHeight="1" outlineLevel="2" spans="1:7">
      <c r="A13" s="27" t="s">
        <v>348</v>
      </c>
      <c r="B13" s="28"/>
      <c r="C13" s="28"/>
      <c r="D13" s="29">
        <v>310000.01</v>
      </c>
      <c r="E13" s="29">
        <v>310000.01</v>
      </c>
      <c r="F13" s="28"/>
      <c r="G13" s="28"/>
    </row>
    <row r="14" s="11" customFormat="1" ht="37" customHeight="1" outlineLevel="3" spans="1:7">
      <c r="A14" s="30" t="s">
        <v>349</v>
      </c>
      <c r="B14" s="31"/>
      <c r="C14" s="31"/>
      <c r="D14" s="32">
        <v>117500.01</v>
      </c>
      <c r="E14" s="32">
        <v>117500.01</v>
      </c>
      <c r="F14" s="31"/>
      <c r="G14" s="31"/>
    </row>
    <row r="15" s="11" customFormat="1" ht="37" customHeight="1" outlineLevel="3" spans="1:7">
      <c r="A15" s="30" t="s">
        <v>350</v>
      </c>
      <c r="B15" s="31"/>
      <c r="C15" s="31"/>
      <c r="D15" s="32">
        <v>78333.34</v>
      </c>
      <c r="E15" s="32">
        <v>78333.34</v>
      </c>
      <c r="F15" s="31"/>
      <c r="G15" s="31"/>
    </row>
    <row r="16" s="11" customFormat="1" ht="37" customHeight="1" outlineLevel="3" spans="1:7">
      <c r="A16" s="30" t="s">
        <v>351</v>
      </c>
      <c r="B16" s="31"/>
      <c r="C16" s="31"/>
      <c r="D16" s="32">
        <v>78333.33</v>
      </c>
      <c r="E16" s="32">
        <v>78333.33</v>
      </c>
      <c r="F16" s="31"/>
      <c r="G16" s="31"/>
    </row>
    <row r="17" s="11" customFormat="1" ht="37" customHeight="1" outlineLevel="3" spans="1:7">
      <c r="A17" s="30" t="s">
        <v>352</v>
      </c>
      <c r="B17" s="31"/>
      <c r="C17" s="31"/>
      <c r="D17" s="32">
        <v>35833.33</v>
      </c>
      <c r="E17" s="32">
        <v>35833.33</v>
      </c>
      <c r="F17" s="31"/>
      <c r="G17" s="31"/>
    </row>
    <row r="18" s="11" customFormat="1" ht="12" customHeight="1" outlineLevel="2" spans="1:7">
      <c r="A18" s="27" t="s">
        <v>353</v>
      </c>
      <c r="B18" s="28"/>
      <c r="C18" s="28"/>
      <c r="D18" s="29">
        <v>39624.86</v>
      </c>
      <c r="E18" s="29">
        <v>39624.86</v>
      </c>
      <c r="F18" s="28"/>
      <c r="G18" s="28"/>
    </row>
    <row r="19" s="11" customFormat="1" ht="37" customHeight="1" outlineLevel="3" spans="1:7">
      <c r="A19" s="30" t="s">
        <v>354</v>
      </c>
      <c r="B19" s="31"/>
      <c r="C19" s="31"/>
      <c r="D19" s="32">
        <v>39624.86</v>
      </c>
      <c r="E19" s="32">
        <v>39624.86</v>
      </c>
      <c r="F19" s="31"/>
      <c r="G19" s="31"/>
    </row>
    <row r="20" s="11" customFormat="1" ht="12" customHeight="1" outlineLevel="2" spans="1:7">
      <c r="A20" s="27" t="s">
        <v>177</v>
      </c>
      <c r="B20" s="29">
        <v>535000</v>
      </c>
      <c r="C20" s="28"/>
      <c r="D20" s="28"/>
      <c r="E20" s="29">
        <v>535000</v>
      </c>
      <c r="F20" s="28"/>
      <c r="G20" s="28"/>
    </row>
    <row r="21" s="11" customFormat="1" ht="37" customHeight="1" outlineLevel="3" spans="1:7">
      <c r="A21" s="30" t="s">
        <v>178</v>
      </c>
      <c r="B21" s="32">
        <v>535000</v>
      </c>
      <c r="C21" s="31"/>
      <c r="D21" s="31"/>
      <c r="E21" s="32">
        <v>535000</v>
      </c>
      <c r="F21" s="31"/>
      <c r="G21" s="31"/>
    </row>
    <row r="22" s="11" customFormat="1" ht="13" customHeight="1" outlineLevel="1" spans="1:7">
      <c r="A22" s="26" t="s">
        <v>181</v>
      </c>
      <c r="B22" s="24">
        <v>14336.16</v>
      </c>
      <c r="C22" s="25"/>
      <c r="D22" s="24">
        <v>26841544.38</v>
      </c>
      <c r="E22" s="24">
        <v>17614384.09</v>
      </c>
      <c r="F22" s="24">
        <v>9241496.45</v>
      </c>
      <c r="G22" s="25"/>
    </row>
    <row r="23" s="11" customFormat="1" ht="12" customHeight="1" outlineLevel="2" spans="1:7">
      <c r="A23" s="27" t="s">
        <v>355</v>
      </c>
      <c r="B23" s="28"/>
      <c r="C23" s="28"/>
      <c r="D23" s="29">
        <v>38333.33</v>
      </c>
      <c r="E23" s="29">
        <v>38333.33</v>
      </c>
      <c r="F23" s="28"/>
      <c r="G23" s="28"/>
    </row>
    <row r="24" s="11" customFormat="1" ht="37" customHeight="1" outlineLevel="3" spans="1:7">
      <c r="A24" s="30" t="s">
        <v>356</v>
      </c>
      <c r="B24" s="31"/>
      <c r="C24" s="31"/>
      <c r="D24" s="32">
        <v>38333.33</v>
      </c>
      <c r="E24" s="32">
        <v>38333.33</v>
      </c>
      <c r="F24" s="31"/>
      <c r="G24" s="31"/>
    </row>
    <row r="25" s="11" customFormat="1" ht="12" customHeight="1" outlineLevel="2" spans="1:7">
      <c r="A25" s="27" t="s">
        <v>182</v>
      </c>
      <c r="B25" s="29">
        <v>6318</v>
      </c>
      <c r="C25" s="28"/>
      <c r="D25" s="28"/>
      <c r="E25" s="29">
        <v>6318</v>
      </c>
      <c r="F25" s="28"/>
      <c r="G25" s="28"/>
    </row>
    <row r="26" s="11" customFormat="1" ht="37" customHeight="1" outlineLevel="3" spans="1:7">
      <c r="A26" s="30" t="s">
        <v>183</v>
      </c>
      <c r="B26" s="32">
        <v>6318</v>
      </c>
      <c r="C26" s="31"/>
      <c r="D26" s="31"/>
      <c r="E26" s="32">
        <v>6318</v>
      </c>
      <c r="F26" s="31"/>
      <c r="G26" s="31"/>
    </row>
    <row r="27" s="11" customFormat="1" ht="12" customHeight="1" outlineLevel="2" spans="1:7">
      <c r="A27" s="27" t="s">
        <v>357</v>
      </c>
      <c r="B27" s="28"/>
      <c r="C27" s="28"/>
      <c r="D27" s="29">
        <v>18880</v>
      </c>
      <c r="E27" s="29">
        <v>18880</v>
      </c>
      <c r="F27" s="28"/>
      <c r="G27" s="28"/>
    </row>
    <row r="28" s="11" customFormat="1" ht="37" customHeight="1" outlineLevel="3" spans="1:7">
      <c r="A28" s="30" t="s">
        <v>358</v>
      </c>
      <c r="B28" s="31"/>
      <c r="C28" s="31"/>
      <c r="D28" s="32">
        <v>18880</v>
      </c>
      <c r="E28" s="32">
        <v>18880</v>
      </c>
      <c r="F28" s="31"/>
      <c r="G28" s="31"/>
    </row>
    <row r="29" s="11" customFormat="1" ht="12" customHeight="1" outlineLevel="2" spans="1:7">
      <c r="A29" s="27" t="s">
        <v>346</v>
      </c>
      <c r="B29" s="28"/>
      <c r="C29" s="28"/>
      <c r="D29" s="29">
        <v>395343.87</v>
      </c>
      <c r="E29" s="29">
        <v>395343.87</v>
      </c>
      <c r="F29" s="28"/>
      <c r="G29" s="28"/>
    </row>
    <row r="30" s="11" customFormat="1" ht="37" customHeight="1" outlineLevel="3" spans="1:7">
      <c r="A30" s="30" t="s">
        <v>359</v>
      </c>
      <c r="B30" s="31"/>
      <c r="C30" s="31"/>
      <c r="D30" s="32">
        <v>17841.33</v>
      </c>
      <c r="E30" s="32">
        <v>17841.33</v>
      </c>
      <c r="F30" s="31"/>
      <c r="G30" s="31"/>
    </row>
    <row r="31" s="11" customFormat="1" ht="37" customHeight="1" outlineLevel="3" spans="1:7">
      <c r="A31" s="30" t="s">
        <v>360</v>
      </c>
      <c r="B31" s="31"/>
      <c r="C31" s="31"/>
      <c r="D31" s="32">
        <v>34798.66</v>
      </c>
      <c r="E31" s="32">
        <v>34798.66</v>
      </c>
      <c r="F31" s="31"/>
      <c r="G31" s="31"/>
    </row>
    <row r="32" s="11" customFormat="1" ht="37" customHeight="1" outlineLevel="3" spans="1:7">
      <c r="A32" s="30" t="s">
        <v>361</v>
      </c>
      <c r="B32" s="31"/>
      <c r="C32" s="31"/>
      <c r="D32" s="32">
        <v>14773.67</v>
      </c>
      <c r="E32" s="32">
        <v>14773.67</v>
      </c>
      <c r="F32" s="31"/>
      <c r="G32" s="31"/>
    </row>
    <row r="33" s="11" customFormat="1" ht="37" customHeight="1" outlineLevel="3" spans="1:7">
      <c r="A33" s="30" t="s">
        <v>362</v>
      </c>
      <c r="B33" s="31"/>
      <c r="C33" s="31"/>
      <c r="D33" s="32">
        <v>2890.5</v>
      </c>
      <c r="E33" s="32">
        <v>2890.5</v>
      </c>
      <c r="F33" s="31"/>
      <c r="G33" s="31"/>
    </row>
    <row r="34" s="11" customFormat="1" ht="37" customHeight="1" outlineLevel="3" spans="1:7">
      <c r="A34" s="30" t="s">
        <v>363</v>
      </c>
      <c r="B34" s="31"/>
      <c r="C34" s="31"/>
      <c r="D34" s="32">
        <v>33825.84</v>
      </c>
      <c r="E34" s="32">
        <v>33825.84</v>
      </c>
      <c r="F34" s="31"/>
      <c r="G34" s="31"/>
    </row>
    <row r="35" s="11" customFormat="1" ht="37" customHeight="1" outlineLevel="3" spans="1:7">
      <c r="A35" s="30" t="s">
        <v>364</v>
      </c>
      <c r="B35" s="31"/>
      <c r="C35" s="31"/>
      <c r="D35" s="32">
        <v>4817.5</v>
      </c>
      <c r="E35" s="32">
        <v>4817.5</v>
      </c>
      <c r="F35" s="31"/>
      <c r="G35" s="31"/>
    </row>
    <row r="36" s="11" customFormat="1" ht="37" customHeight="1" outlineLevel="3" spans="1:7">
      <c r="A36" s="30" t="s">
        <v>365</v>
      </c>
      <c r="B36" s="31"/>
      <c r="C36" s="31"/>
      <c r="D36" s="32">
        <v>2710.17</v>
      </c>
      <c r="E36" s="32">
        <v>2710.17</v>
      </c>
      <c r="F36" s="31"/>
      <c r="G36" s="31"/>
    </row>
    <row r="37" s="11" customFormat="1" ht="37" customHeight="1" outlineLevel="3" spans="1:7">
      <c r="A37" s="30" t="s">
        <v>366</v>
      </c>
      <c r="B37" s="31"/>
      <c r="C37" s="31"/>
      <c r="D37" s="32">
        <v>50469.84</v>
      </c>
      <c r="E37" s="32">
        <v>50469.84</v>
      </c>
      <c r="F37" s="31"/>
      <c r="G37" s="31"/>
    </row>
    <row r="38" s="11" customFormat="1" ht="37" customHeight="1" outlineLevel="3" spans="1:7">
      <c r="A38" s="30" t="s">
        <v>367</v>
      </c>
      <c r="B38" s="31"/>
      <c r="C38" s="31"/>
      <c r="D38" s="32">
        <v>9152.67</v>
      </c>
      <c r="E38" s="32">
        <v>9152.67</v>
      </c>
      <c r="F38" s="31"/>
      <c r="G38" s="31"/>
    </row>
    <row r="39" s="11" customFormat="1" ht="37" customHeight="1" outlineLevel="3" spans="1:7">
      <c r="A39" s="30" t="s">
        <v>368</v>
      </c>
      <c r="B39" s="31"/>
      <c r="C39" s="31"/>
      <c r="D39" s="32">
        <v>2694.17</v>
      </c>
      <c r="E39" s="32">
        <v>2694.17</v>
      </c>
      <c r="F39" s="31"/>
      <c r="G39" s="31"/>
    </row>
    <row r="40" s="11" customFormat="1" ht="37" customHeight="1" outlineLevel="3" spans="1:7">
      <c r="A40" s="30" t="s">
        <v>369</v>
      </c>
      <c r="B40" s="31"/>
      <c r="C40" s="31"/>
      <c r="D40" s="32">
        <v>75209.83</v>
      </c>
      <c r="E40" s="32">
        <v>75209.83</v>
      </c>
      <c r="F40" s="31"/>
      <c r="G40" s="31"/>
    </row>
    <row r="41" s="11" customFormat="1" ht="37" customHeight="1" outlineLevel="3" spans="1:7">
      <c r="A41" s="30" t="s">
        <v>370</v>
      </c>
      <c r="B41" s="31"/>
      <c r="C41" s="31"/>
      <c r="D41" s="32">
        <v>46608.35</v>
      </c>
      <c r="E41" s="32">
        <v>46608.35</v>
      </c>
      <c r="F41" s="31"/>
      <c r="G41" s="31"/>
    </row>
    <row r="42" s="11" customFormat="1" ht="37" customHeight="1" outlineLevel="3" spans="1:7">
      <c r="A42" s="30" t="s">
        <v>371</v>
      </c>
      <c r="B42" s="31"/>
      <c r="C42" s="31"/>
      <c r="D42" s="32">
        <v>44120.5</v>
      </c>
      <c r="E42" s="32">
        <v>44120.5</v>
      </c>
      <c r="F42" s="31"/>
      <c r="G42" s="31"/>
    </row>
    <row r="43" s="11" customFormat="1" ht="37" customHeight="1" outlineLevel="3" spans="1:7">
      <c r="A43" s="30" t="s">
        <v>372</v>
      </c>
      <c r="B43" s="31"/>
      <c r="C43" s="31"/>
      <c r="D43" s="33">
        <v>751.67</v>
      </c>
      <c r="E43" s="33">
        <v>751.67</v>
      </c>
      <c r="F43" s="31"/>
      <c r="G43" s="31"/>
    </row>
    <row r="44" s="11" customFormat="1" ht="37" customHeight="1" outlineLevel="3" spans="1:7">
      <c r="A44" s="30" t="s">
        <v>373</v>
      </c>
      <c r="B44" s="31"/>
      <c r="C44" s="31"/>
      <c r="D44" s="32">
        <v>18662.67</v>
      </c>
      <c r="E44" s="32">
        <v>18662.67</v>
      </c>
      <c r="F44" s="31"/>
      <c r="G44" s="31"/>
    </row>
    <row r="45" s="11" customFormat="1" ht="37" customHeight="1" outlineLevel="3" spans="1:7">
      <c r="A45" s="30" t="s">
        <v>374</v>
      </c>
      <c r="B45" s="31"/>
      <c r="C45" s="31"/>
      <c r="D45" s="33">
        <v>296.33</v>
      </c>
      <c r="E45" s="33">
        <v>296.33</v>
      </c>
      <c r="F45" s="31"/>
      <c r="G45" s="31"/>
    </row>
    <row r="46" s="11" customFormat="1" ht="37" customHeight="1" outlineLevel="3" spans="1:7">
      <c r="A46" s="30" t="s">
        <v>375</v>
      </c>
      <c r="B46" s="31"/>
      <c r="C46" s="31"/>
      <c r="D46" s="32">
        <v>3900</v>
      </c>
      <c r="E46" s="32">
        <v>3900</v>
      </c>
      <c r="F46" s="31"/>
      <c r="G46" s="31"/>
    </row>
    <row r="47" s="11" customFormat="1" ht="37" customHeight="1" outlineLevel="3" spans="1:7">
      <c r="A47" s="30" t="s">
        <v>376</v>
      </c>
      <c r="B47" s="31"/>
      <c r="C47" s="31"/>
      <c r="D47" s="32">
        <v>31820.17</v>
      </c>
      <c r="E47" s="32">
        <v>31820.17</v>
      </c>
      <c r="F47" s="31"/>
      <c r="G47" s="31"/>
    </row>
    <row r="48" s="11" customFormat="1" ht="12" customHeight="1" outlineLevel="2" spans="1:7">
      <c r="A48" s="27" t="s">
        <v>184</v>
      </c>
      <c r="B48" s="28"/>
      <c r="C48" s="28"/>
      <c r="D48" s="29">
        <v>25272190.57</v>
      </c>
      <c r="E48" s="29">
        <v>16030694.12</v>
      </c>
      <c r="F48" s="29">
        <v>9241496.45</v>
      </c>
      <c r="G48" s="28"/>
    </row>
    <row r="49" s="11" customFormat="1" ht="37" customHeight="1" outlineLevel="3" spans="1:7">
      <c r="A49" s="30" t="s">
        <v>377</v>
      </c>
      <c r="B49" s="31"/>
      <c r="C49" s="31"/>
      <c r="D49" s="32">
        <v>47315.4</v>
      </c>
      <c r="E49" s="32">
        <v>47315.4</v>
      </c>
      <c r="F49" s="31"/>
      <c r="G49" s="31"/>
    </row>
    <row r="50" s="11" customFormat="1" ht="37" customHeight="1" outlineLevel="3" spans="1:7">
      <c r="A50" s="30" t="s">
        <v>378</v>
      </c>
      <c r="B50" s="31"/>
      <c r="C50" s="31"/>
      <c r="D50" s="32">
        <v>39429.5</v>
      </c>
      <c r="E50" s="32">
        <v>39429.5</v>
      </c>
      <c r="F50" s="31"/>
      <c r="G50" s="31"/>
    </row>
    <row r="51" s="11" customFormat="1" ht="37" customHeight="1" outlineLevel="3" spans="1:7">
      <c r="A51" s="30" t="s">
        <v>379</v>
      </c>
      <c r="B51" s="31"/>
      <c r="C51" s="31"/>
      <c r="D51" s="32">
        <v>47315.4</v>
      </c>
      <c r="E51" s="32">
        <v>47315.4</v>
      </c>
      <c r="F51" s="31"/>
      <c r="G51" s="31"/>
    </row>
    <row r="52" s="11" customFormat="1" ht="37" customHeight="1" outlineLevel="3" spans="1:7">
      <c r="A52" s="30" t="s">
        <v>380</v>
      </c>
      <c r="B52" s="31"/>
      <c r="C52" s="31"/>
      <c r="D52" s="32">
        <v>39429.5</v>
      </c>
      <c r="E52" s="32">
        <v>39429.5</v>
      </c>
      <c r="F52" s="31"/>
      <c r="G52" s="31"/>
    </row>
    <row r="53" s="11" customFormat="1" ht="37" customHeight="1" outlineLevel="3" spans="1:7">
      <c r="A53" s="30" t="s">
        <v>381</v>
      </c>
      <c r="B53" s="31"/>
      <c r="C53" s="31"/>
      <c r="D53" s="32">
        <v>39429.5</v>
      </c>
      <c r="E53" s="32">
        <v>39429.5</v>
      </c>
      <c r="F53" s="31"/>
      <c r="G53" s="31"/>
    </row>
    <row r="54" s="11" customFormat="1" ht="37" customHeight="1" outlineLevel="3" spans="1:7">
      <c r="A54" s="30" t="s">
        <v>382</v>
      </c>
      <c r="B54" s="31"/>
      <c r="C54" s="31"/>
      <c r="D54" s="32">
        <v>31543.6</v>
      </c>
      <c r="E54" s="32">
        <v>31543.6</v>
      </c>
      <c r="F54" s="31"/>
      <c r="G54" s="31"/>
    </row>
    <row r="55" s="11" customFormat="1" ht="37" customHeight="1" outlineLevel="3" spans="1:7">
      <c r="A55" s="30" t="s">
        <v>383</v>
      </c>
      <c r="B55" s="31"/>
      <c r="C55" s="31"/>
      <c r="D55" s="32">
        <v>12970.9</v>
      </c>
      <c r="E55" s="32">
        <v>12970.9</v>
      </c>
      <c r="F55" s="31"/>
      <c r="G55" s="31"/>
    </row>
    <row r="56" s="11" customFormat="1" ht="37" customHeight="1" outlineLevel="3" spans="1:7">
      <c r="A56" s="30" t="s">
        <v>384</v>
      </c>
      <c r="B56" s="31"/>
      <c r="C56" s="31"/>
      <c r="D56" s="32">
        <v>47315.4</v>
      </c>
      <c r="E56" s="32">
        <v>47315.4</v>
      </c>
      <c r="F56" s="31"/>
      <c r="G56" s="31"/>
    </row>
    <row r="57" s="11" customFormat="1" ht="37" customHeight="1" outlineLevel="3" spans="1:7">
      <c r="A57" s="30" t="s">
        <v>385</v>
      </c>
      <c r="B57" s="31"/>
      <c r="C57" s="31"/>
      <c r="D57" s="32">
        <v>47315.4</v>
      </c>
      <c r="E57" s="32">
        <v>47315.4</v>
      </c>
      <c r="F57" s="31"/>
      <c r="G57" s="31"/>
    </row>
    <row r="58" s="11" customFormat="1" ht="37" customHeight="1" outlineLevel="3" spans="1:7">
      <c r="A58" s="30" t="s">
        <v>386</v>
      </c>
      <c r="B58" s="31"/>
      <c r="C58" s="31"/>
      <c r="D58" s="32">
        <v>47315.4</v>
      </c>
      <c r="E58" s="32">
        <v>47315.4</v>
      </c>
      <c r="F58" s="31"/>
      <c r="G58" s="31"/>
    </row>
    <row r="59" s="11" customFormat="1" ht="37" customHeight="1" outlineLevel="3" spans="1:7">
      <c r="A59" s="30" t="s">
        <v>387</v>
      </c>
      <c r="B59" s="31"/>
      <c r="C59" s="31"/>
      <c r="D59" s="32">
        <v>157718</v>
      </c>
      <c r="E59" s="32">
        <v>157718</v>
      </c>
      <c r="F59" s="31"/>
      <c r="G59" s="31"/>
    </row>
    <row r="60" s="11" customFormat="1" ht="37" customHeight="1" outlineLevel="3" spans="1:7">
      <c r="A60" s="30" t="s">
        <v>388</v>
      </c>
      <c r="B60" s="31"/>
      <c r="C60" s="31"/>
      <c r="D60" s="32">
        <v>157718</v>
      </c>
      <c r="E60" s="32">
        <v>157718</v>
      </c>
      <c r="F60" s="31"/>
      <c r="G60" s="31"/>
    </row>
    <row r="61" s="11" customFormat="1" ht="37" customHeight="1" outlineLevel="3" spans="1:7">
      <c r="A61" s="30" t="s">
        <v>389</v>
      </c>
      <c r="B61" s="31"/>
      <c r="C61" s="31"/>
      <c r="D61" s="32">
        <v>157718</v>
      </c>
      <c r="E61" s="32">
        <v>157718</v>
      </c>
      <c r="F61" s="31"/>
      <c r="G61" s="31"/>
    </row>
    <row r="62" s="11" customFormat="1" ht="37" customHeight="1" outlineLevel="3" spans="1:7">
      <c r="A62" s="30" t="s">
        <v>390</v>
      </c>
      <c r="B62" s="31"/>
      <c r="C62" s="31"/>
      <c r="D62" s="32">
        <v>39429.5</v>
      </c>
      <c r="E62" s="32">
        <v>39429.5</v>
      </c>
      <c r="F62" s="31"/>
      <c r="G62" s="31"/>
    </row>
    <row r="63" s="11" customFormat="1" ht="37" customHeight="1" outlineLevel="3" spans="1:7">
      <c r="A63" s="30" t="s">
        <v>391</v>
      </c>
      <c r="B63" s="31"/>
      <c r="C63" s="31"/>
      <c r="D63" s="32">
        <v>39429.5</v>
      </c>
      <c r="E63" s="32">
        <v>39429.5</v>
      </c>
      <c r="F63" s="31"/>
      <c r="G63" s="31"/>
    </row>
    <row r="64" s="11" customFormat="1" ht="37" customHeight="1" outlineLevel="3" spans="1:7">
      <c r="A64" s="30" t="s">
        <v>392</v>
      </c>
      <c r="B64" s="31"/>
      <c r="C64" s="31"/>
      <c r="D64" s="32">
        <v>157718</v>
      </c>
      <c r="E64" s="32">
        <v>157718</v>
      </c>
      <c r="F64" s="31"/>
      <c r="G64" s="31"/>
    </row>
    <row r="65" s="11" customFormat="1" ht="37" customHeight="1" outlineLevel="3" spans="1:7">
      <c r="A65" s="30" t="s">
        <v>393</v>
      </c>
      <c r="B65" s="31"/>
      <c r="C65" s="31"/>
      <c r="D65" s="32">
        <v>38912.7</v>
      </c>
      <c r="E65" s="32">
        <v>38912.7</v>
      </c>
      <c r="F65" s="31"/>
      <c r="G65" s="31"/>
    </row>
    <row r="66" s="11" customFormat="1" ht="37" customHeight="1" outlineLevel="3" spans="1:7">
      <c r="A66" s="30" t="s">
        <v>394</v>
      </c>
      <c r="B66" s="31"/>
      <c r="C66" s="31"/>
      <c r="D66" s="32">
        <v>47315.4</v>
      </c>
      <c r="E66" s="32">
        <v>47315.4</v>
      </c>
      <c r="F66" s="31"/>
      <c r="G66" s="31"/>
    </row>
    <row r="67" s="11" customFormat="1" ht="37" customHeight="1" outlineLevel="3" spans="1:7">
      <c r="A67" s="30" t="s">
        <v>395</v>
      </c>
      <c r="B67" s="31"/>
      <c r="C67" s="31"/>
      <c r="D67" s="32">
        <v>47315.4</v>
      </c>
      <c r="E67" s="32">
        <v>47315.4</v>
      </c>
      <c r="F67" s="31"/>
      <c r="G67" s="31"/>
    </row>
    <row r="68" s="11" customFormat="1" ht="37" customHeight="1" outlineLevel="3" spans="1:7">
      <c r="A68" s="30" t="s">
        <v>396</v>
      </c>
      <c r="B68" s="31"/>
      <c r="C68" s="31"/>
      <c r="D68" s="32">
        <v>47315.4</v>
      </c>
      <c r="E68" s="32">
        <v>47315.4</v>
      </c>
      <c r="F68" s="31"/>
      <c r="G68" s="31"/>
    </row>
    <row r="69" s="11" customFormat="1" ht="37" customHeight="1" outlineLevel="3" spans="1:7">
      <c r="A69" s="30" t="s">
        <v>397</v>
      </c>
      <c r="B69" s="31"/>
      <c r="C69" s="31"/>
      <c r="D69" s="32">
        <v>47315.4</v>
      </c>
      <c r="E69" s="32">
        <v>47315.4</v>
      </c>
      <c r="F69" s="31"/>
      <c r="G69" s="31"/>
    </row>
    <row r="70" s="11" customFormat="1" ht="37" customHeight="1" outlineLevel="3" spans="1:7">
      <c r="A70" s="30" t="s">
        <v>398</v>
      </c>
      <c r="B70" s="31"/>
      <c r="C70" s="31"/>
      <c r="D70" s="32">
        <v>38912.7</v>
      </c>
      <c r="E70" s="32">
        <v>38912.7</v>
      </c>
      <c r="F70" s="31"/>
      <c r="G70" s="31"/>
    </row>
    <row r="71" s="11" customFormat="1" ht="37" customHeight="1" outlineLevel="3" spans="1:7">
      <c r="A71" s="30" t="s">
        <v>399</v>
      </c>
      <c r="B71" s="31"/>
      <c r="C71" s="31"/>
      <c r="D71" s="32">
        <v>38912.7</v>
      </c>
      <c r="E71" s="32">
        <v>38912.7</v>
      </c>
      <c r="F71" s="31"/>
      <c r="G71" s="31"/>
    </row>
    <row r="72" s="11" customFormat="1" ht="37" customHeight="1" outlineLevel="3" spans="1:7">
      <c r="A72" s="30" t="s">
        <v>400</v>
      </c>
      <c r="B72" s="31"/>
      <c r="C72" s="31"/>
      <c r="D72" s="32">
        <v>47315.4</v>
      </c>
      <c r="E72" s="32">
        <v>47315.4</v>
      </c>
      <c r="F72" s="31"/>
      <c r="G72" s="31"/>
    </row>
    <row r="73" s="11" customFormat="1" ht="37" customHeight="1" outlineLevel="3" spans="1:7">
      <c r="A73" s="30" t="s">
        <v>401</v>
      </c>
      <c r="B73" s="31"/>
      <c r="C73" s="31"/>
      <c r="D73" s="32">
        <v>157718</v>
      </c>
      <c r="E73" s="32">
        <v>157718</v>
      </c>
      <c r="F73" s="31"/>
      <c r="G73" s="31"/>
    </row>
    <row r="74" s="11" customFormat="1" ht="37" customHeight="1" outlineLevel="3" spans="1:7">
      <c r="A74" s="30" t="s">
        <v>402</v>
      </c>
      <c r="B74" s="31"/>
      <c r="C74" s="31"/>
      <c r="D74" s="32">
        <v>47315.4</v>
      </c>
      <c r="E74" s="32">
        <v>47315.4</v>
      </c>
      <c r="F74" s="31"/>
      <c r="G74" s="31"/>
    </row>
    <row r="75" s="11" customFormat="1" ht="37" customHeight="1" outlineLevel="3" spans="1:7">
      <c r="A75" s="30" t="s">
        <v>403</v>
      </c>
      <c r="B75" s="31"/>
      <c r="C75" s="31"/>
      <c r="D75" s="32">
        <v>38912.7</v>
      </c>
      <c r="E75" s="32">
        <v>38912.7</v>
      </c>
      <c r="F75" s="31"/>
      <c r="G75" s="31"/>
    </row>
    <row r="76" s="11" customFormat="1" ht="37" customHeight="1" outlineLevel="3" spans="1:7">
      <c r="A76" s="30" t="s">
        <v>404</v>
      </c>
      <c r="B76" s="31"/>
      <c r="C76" s="31"/>
      <c r="D76" s="32">
        <v>39429.5</v>
      </c>
      <c r="E76" s="32">
        <v>39429.5</v>
      </c>
      <c r="F76" s="31"/>
      <c r="G76" s="31"/>
    </row>
    <row r="77" s="11" customFormat="1" ht="37" customHeight="1" outlineLevel="3" spans="1:7">
      <c r="A77" s="30" t="s">
        <v>405</v>
      </c>
      <c r="B77" s="31"/>
      <c r="C77" s="31"/>
      <c r="D77" s="32">
        <v>47315.4</v>
      </c>
      <c r="E77" s="32">
        <v>47315.4</v>
      </c>
      <c r="F77" s="31"/>
      <c r="G77" s="31"/>
    </row>
    <row r="78" s="11" customFormat="1" ht="37" customHeight="1" outlineLevel="3" spans="1:7">
      <c r="A78" s="30" t="s">
        <v>406</v>
      </c>
      <c r="B78" s="31"/>
      <c r="C78" s="31"/>
      <c r="D78" s="32">
        <v>47315.4</v>
      </c>
      <c r="E78" s="32">
        <v>47315.4</v>
      </c>
      <c r="F78" s="31"/>
      <c r="G78" s="31"/>
    </row>
    <row r="79" s="11" customFormat="1" ht="37" customHeight="1" outlineLevel="3" spans="1:7">
      <c r="A79" s="30" t="s">
        <v>407</v>
      </c>
      <c r="B79" s="31"/>
      <c r="C79" s="31"/>
      <c r="D79" s="32">
        <v>47315.4</v>
      </c>
      <c r="E79" s="32">
        <v>47315.4</v>
      </c>
      <c r="F79" s="31"/>
      <c r="G79" s="31"/>
    </row>
    <row r="80" s="11" customFormat="1" ht="37" customHeight="1" outlineLevel="3" spans="1:7">
      <c r="A80" s="30" t="s">
        <v>408</v>
      </c>
      <c r="B80" s="31"/>
      <c r="C80" s="31"/>
      <c r="D80" s="32">
        <v>47315.4</v>
      </c>
      <c r="E80" s="32">
        <v>47315.4</v>
      </c>
      <c r="F80" s="31"/>
      <c r="G80" s="31"/>
    </row>
    <row r="81" s="11" customFormat="1" ht="37" customHeight="1" outlineLevel="3" spans="1:7">
      <c r="A81" s="30" t="s">
        <v>409</v>
      </c>
      <c r="B81" s="31"/>
      <c r="C81" s="31"/>
      <c r="D81" s="32">
        <v>47315.4</v>
      </c>
      <c r="E81" s="32">
        <v>47315.4</v>
      </c>
      <c r="F81" s="31"/>
      <c r="G81" s="31"/>
    </row>
    <row r="82" s="11" customFormat="1" ht="37" customHeight="1" outlineLevel="3" spans="1:7">
      <c r="A82" s="30" t="s">
        <v>410</v>
      </c>
      <c r="B82" s="31"/>
      <c r="C82" s="31"/>
      <c r="D82" s="32">
        <v>38912.7</v>
      </c>
      <c r="E82" s="32">
        <v>38912.7</v>
      </c>
      <c r="F82" s="31"/>
      <c r="G82" s="31"/>
    </row>
    <row r="83" s="11" customFormat="1" ht="37" customHeight="1" outlineLevel="3" spans="1:7">
      <c r="A83" s="30" t="s">
        <v>411</v>
      </c>
      <c r="B83" s="31"/>
      <c r="C83" s="31"/>
      <c r="D83" s="32">
        <v>38912.7</v>
      </c>
      <c r="E83" s="32">
        <v>38912.7</v>
      </c>
      <c r="F83" s="31"/>
      <c r="G83" s="31"/>
    </row>
    <row r="84" s="11" customFormat="1" ht="37" customHeight="1" outlineLevel="3" spans="1:7">
      <c r="A84" s="30" t="s">
        <v>412</v>
      </c>
      <c r="B84" s="31"/>
      <c r="C84" s="31"/>
      <c r="D84" s="32">
        <v>126174.4</v>
      </c>
      <c r="E84" s="32">
        <v>126174.4</v>
      </c>
      <c r="F84" s="31"/>
      <c r="G84" s="31"/>
    </row>
    <row r="85" s="11" customFormat="1" ht="37" customHeight="1" outlineLevel="3" spans="1:7">
      <c r="A85" s="30" t="s">
        <v>413</v>
      </c>
      <c r="B85" s="31"/>
      <c r="C85" s="31"/>
      <c r="D85" s="32">
        <v>47315.4</v>
      </c>
      <c r="E85" s="32">
        <v>47315.4</v>
      </c>
      <c r="F85" s="31"/>
      <c r="G85" s="31"/>
    </row>
    <row r="86" s="11" customFormat="1" ht="37" customHeight="1" outlineLevel="3" spans="1:7">
      <c r="A86" s="30" t="s">
        <v>414</v>
      </c>
      <c r="B86" s="31"/>
      <c r="C86" s="31"/>
      <c r="D86" s="32">
        <v>47315.4</v>
      </c>
      <c r="E86" s="32">
        <v>47315.4</v>
      </c>
      <c r="F86" s="31"/>
      <c r="G86" s="31"/>
    </row>
    <row r="87" s="11" customFormat="1" ht="37" customHeight="1" outlineLevel="3" spans="1:7">
      <c r="A87" s="30" t="s">
        <v>415</v>
      </c>
      <c r="B87" s="31"/>
      <c r="C87" s="31"/>
      <c r="D87" s="32">
        <v>47315.4</v>
      </c>
      <c r="E87" s="32">
        <v>47315.4</v>
      </c>
      <c r="F87" s="31"/>
      <c r="G87" s="31"/>
    </row>
    <row r="88" s="11" customFormat="1" ht="37" customHeight="1" outlineLevel="3" spans="1:7">
      <c r="A88" s="30" t="s">
        <v>416</v>
      </c>
      <c r="B88" s="31"/>
      <c r="C88" s="31"/>
      <c r="D88" s="32">
        <v>47315.4</v>
      </c>
      <c r="E88" s="32">
        <v>47315.4</v>
      </c>
      <c r="F88" s="31"/>
      <c r="G88" s="31"/>
    </row>
    <row r="89" s="11" customFormat="1" ht="37" customHeight="1" outlineLevel="3" spans="1:7">
      <c r="A89" s="30" t="s">
        <v>417</v>
      </c>
      <c r="B89" s="31"/>
      <c r="C89" s="31"/>
      <c r="D89" s="32">
        <v>47315.4</v>
      </c>
      <c r="E89" s="32">
        <v>47315.4</v>
      </c>
      <c r="F89" s="31"/>
      <c r="G89" s="31"/>
    </row>
    <row r="90" s="11" customFormat="1" ht="37" customHeight="1" outlineLevel="3" spans="1:7">
      <c r="A90" s="30" t="s">
        <v>418</v>
      </c>
      <c r="B90" s="31"/>
      <c r="C90" s="31"/>
      <c r="D90" s="32">
        <v>126174.4</v>
      </c>
      <c r="E90" s="32">
        <v>126174.4</v>
      </c>
      <c r="F90" s="31"/>
      <c r="G90" s="31"/>
    </row>
    <row r="91" s="11" customFormat="1" ht="37" customHeight="1" outlineLevel="3" spans="1:7">
      <c r="A91" s="30" t="s">
        <v>419</v>
      </c>
      <c r="B91" s="31"/>
      <c r="C91" s="31"/>
      <c r="D91" s="32">
        <v>51883.6</v>
      </c>
      <c r="E91" s="32">
        <v>51883.6</v>
      </c>
      <c r="F91" s="31"/>
      <c r="G91" s="31"/>
    </row>
    <row r="92" s="11" customFormat="1" ht="37" customHeight="1" outlineLevel="3" spans="1:7">
      <c r="A92" s="30" t="s">
        <v>420</v>
      </c>
      <c r="B92" s="31"/>
      <c r="C92" s="31"/>
      <c r="D92" s="32">
        <v>47315.4</v>
      </c>
      <c r="E92" s="32">
        <v>47315.4</v>
      </c>
      <c r="F92" s="31"/>
      <c r="G92" s="31"/>
    </row>
    <row r="93" s="11" customFormat="1" ht="37" customHeight="1" outlineLevel="3" spans="1:7">
      <c r="A93" s="30" t="s">
        <v>421</v>
      </c>
      <c r="B93" s="31"/>
      <c r="C93" s="31"/>
      <c r="D93" s="32">
        <v>86744.9</v>
      </c>
      <c r="E93" s="32">
        <v>86744.9</v>
      </c>
      <c r="F93" s="31"/>
      <c r="G93" s="31"/>
    </row>
    <row r="94" s="11" customFormat="1" ht="37" customHeight="1" outlineLevel="3" spans="1:7">
      <c r="A94" s="30" t="s">
        <v>422</v>
      </c>
      <c r="B94" s="31"/>
      <c r="C94" s="31"/>
      <c r="D94" s="32">
        <v>102516.7</v>
      </c>
      <c r="E94" s="32">
        <v>102516.7</v>
      </c>
      <c r="F94" s="31"/>
      <c r="G94" s="31"/>
    </row>
    <row r="95" s="11" customFormat="1" ht="37" customHeight="1" outlineLevel="3" spans="1:7">
      <c r="A95" s="30" t="s">
        <v>423</v>
      </c>
      <c r="B95" s="31"/>
      <c r="C95" s="31"/>
      <c r="D95" s="32">
        <v>110402.6</v>
      </c>
      <c r="E95" s="32">
        <v>110402.6</v>
      </c>
      <c r="F95" s="31"/>
      <c r="G95" s="31"/>
    </row>
    <row r="96" s="11" customFormat="1" ht="37" customHeight="1" outlineLevel="3" spans="1:7">
      <c r="A96" s="30" t="s">
        <v>424</v>
      </c>
      <c r="B96" s="31"/>
      <c r="C96" s="31"/>
      <c r="D96" s="32">
        <v>110402.6</v>
      </c>
      <c r="E96" s="32">
        <v>110402.6</v>
      </c>
      <c r="F96" s="31"/>
      <c r="G96" s="31"/>
    </row>
    <row r="97" s="11" customFormat="1" ht="37" customHeight="1" outlineLevel="3" spans="1:7">
      <c r="A97" s="30" t="s">
        <v>425</v>
      </c>
      <c r="B97" s="31"/>
      <c r="C97" s="31"/>
      <c r="D97" s="32">
        <v>110402.6</v>
      </c>
      <c r="E97" s="32">
        <v>110402.6</v>
      </c>
      <c r="F97" s="31"/>
      <c r="G97" s="31"/>
    </row>
    <row r="98" s="11" customFormat="1" ht="37" customHeight="1" outlineLevel="3" spans="1:7">
      <c r="A98" s="30" t="s">
        <v>426</v>
      </c>
      <c r="B98" s="31"/>
      <c r="C98" s="31"/>
      <c r="D98" s="32">
        <v>32533</v>
      </c>
      <c r="E98" s="32">
        <v>32533</v>
      </c>
      <c r="F98" s="31"/>
      <c r="G98" s="31"/>
    </row>
    <row r="99" s="11" customFormat="1" ht="37" customHeight="1" outlineLevel="3" spans="1:7">
      <c r="A99" s="30" t="s">
        <v>427</v>
      </c>
      <c r="B99" s="31"/>
      <c r="C99" s="31"/>
      <c r="D99" s="32">
        <v>63087.2</v>
      </c>
      <c r="E99" s="32">
        <v>63087.2</v>
      </c>
      <c r="F99" s="31"/>
      <c r="G99" s="31"/>
    </row>
    <row r="100" s="11" customFormat="1" ht="37" customHeight="1" outlineLevel="3" spans="1:7">
      <c r="A100" s="30" t="s">
        <v>428</v>
      </c>
      <c r="B100" s="31"/>
      <c r="C100" s="31"/>
      <c r="D100" s="32">
        <v>110402.6</v>
      </c>
      <c r="E100" s="32">
        <v>110402.6</v>
      </c>
      <c r="F100" s="31"/>
      <c r="G100" s="31"/>
    </row>
    <row r="101" s="11" customFormat="1" ht="37" customHeight="1" outlineLevel="3" spans="1:7">
      <c r="A101" s="30" t="s">
        <v>429</v>
      </c>
      <c r="B101" s="31"/>
      <c r="C101" s="31"/>
      <c r="D101" s="32">
        <v>47315.4</v>
      </c>
      <c r="E101" s="32">
        <v>47315.4</v>
      </c>
      <c r="F101" s="31"/>
      <c r="G101" s="31"/>
    </row>
    <row r="102" s="11" customFormat="1" ht="37" customHeight="1" outlineLevel="3" spans="1:7">
      <c r="A102" s="30" t="s">
        <v>430</v>
      </c>
      <c r="B102" s="31"/>
      <c r="C102" s="31"/>
      <c r="D102" s="32">
        <v>38912.7</v>
      </c>
      <c r="E102" s="32">
        <v>38912.7</v>
      </c>
      <c r="F102" s="31"/>
      <c r="G102" s="31"/>
    </row>
    <row r="103" s="11" customFormat="1" ht="37" customHeight="1" outlineLevel="3" spans="1:7">
      <c r="A103" s="30" t="s">
        <v>431</v>
      </c>
      <c r="B103" s="31"/>
      <c r="C103" s="31"/>
      <c r="D103" s="32">
        <v>38912.7</v>
      </c>
      <c r="E103" s="32">
        <v>38912.7</v>
      </c>
      <c r="F103" s="31"/>
      <c r="G103" s="31"/>
    </row>
    <row r="104" s="11" customFormat="1" ht="37" customHeight="1" outlineLevel="3" spans="1:7">
      <c r="A104" s="30" t="s">
        <v>432</v>
      </c>
      <c r="B104" s="31"/>
      <c r="C104" s="31"/>
      <c r="D104" s="32">
        <v>113865.5</v>
      </c>
      <c r="E104" s="32">
        <v>113865.5</v>
      </c>
      <c r="F104" s="31"/>
      <c r="G104" s="31"/>
    </row>
    <row r="105" s="11" customFormat="1" ht="37" customHeight="1" outlineLevel="3" spans="1:7">
      <c r="A105" s="30" t="s">
        <v>433</v>
      </c>
      <c r="B105" s="31"/>
      <c r="C105" s="31"/>
      <c r="D105" s="32">
        <v>113865.5</v>
      </c>
      <c r="E105" s="32">
        <v>113865.5</v>
      </c>
      <c r="F105" s="31"/>
      <c r="G105" s="31"/>
    </row>
    <row r="106" s="11" customFormat="1" ht="37" customHeight="1" outlineLevel="3" spans="1:7">
      <c r="A106" s="30" t="s">
        <v>434</v>
      </c>
      <c r="B106" s="31"/>
      <c r="C106" s="31"/>
      <c r="D106" s="32">
        <v>113865.5</v>
      </c>
      <c r="E106" s="32">
        <v>113865.5</v>
      </c>
      <c r="F106" s="31"/>
      <c r="G106" s="31"/>
    </row>
    <row r="107" s="11" customFormat="1" ht="37" customHeight="1" outlineLevel="3" spans="1:7">
      <c r="A107" s="30" t="s">
        <v>435</v>
      </c>
      <c r="B107" s="31"/>
      <c r="C107" s="31"/>
      <c r="D107" s="32">
        <v>103767.2</v>
      </c>
      <c r="E107" s="32">
        <v>103767.2</v>
      </c>
      <c r="F107" s="31"/>
      <c r="G107" s="31"/>
    </row>
    <row r="108" s="11" customFormat="1" ht="37" customHeight="1" outlineLevel="3" spans="1:7">
      <c r="A108" s="30" t="s">
        <v>436</v>
      </c>
      <c r="B108" s="31"/>
      <c r="C108" s="31"/>
      <c r="D108" s="32">
        <v>56932.75</v>
      </c>
      <c r="E108" s="32">
        <v>56932.75</v>
      </c>
      <c r="F108" s="31"/>
      <c r="G108" s="31"/>
    </row>
    <row r="109" s="11" customFormat="1" ht="37" customHeight="1" outlineLevel="3" spans="1:7">
      <c r="A109" s="30" t="s">
        <v>437</v>
      </c>
      <c r="B109" s="31"/>
      <c r="C109" s="31"/>
      <c r="D109" s="32">
        <v>55201.3</v>
      </c>
      <c r="E109" s="32">
        <v>55201.3</v>
      </c>
      <c r="F109" s="31"/>
      <c r="G109" s="31"/>
    </row>
    <row r="110" s="11" customFormat="1" ht="37" customHeight="1" outlineLevel="3" spans="1:7">
      <c r="A110" s="30" t="s">
        <v>438</v>
      </c>
      <c r="B110" s="31"/>
      <c r="C110" s="31"/>
      <c r="D110" s="32">
        <v>39429.5</v>
      </c>
      <c r="E110" s="32">
        <v>39429.5</v>
      </c>
      <c r="F110" s="31"/>
      <c r="G110" s="31"/>
    </row>
    <row r="111" s="11" customFormat="1" ht="37" customHeight="1" outlineLevel="3" spans="1:7">
      <c r="A111" s="30" t="s">
        <v>439</v>
      </c>
      <c r="B111" s="31"/>
      <c r="C111" s="31"/>
      <c r="D111" s="32">
        <v>47315.4</v>
      </c>
      <c r="E111" s="32">
        <v>47315.4</v>
      </c>
      <c r="F111" s="31"/>
      <c r="G111" s="31"/>
    </row>
    <row r="112" s="11" customFormat="1" ht="37" customHeight="1" outlineLevel="3" spans="1:7">
      <c r="A112" s="30" t="s">
        <v>440</v>
      </c>
      <c r="B112" s="31"/>
      <c r="C112" s="31"/>
      <c r="D112" s="32">
        <v>47315.4</v>
      </c>
      <c r="E112" s="32">
        <v>47315.4</v>
      </c>
      <c r="F112" s="31"/>
      <c r="G112" s="31"/>
    </row>
    <row r="113" s="11" customFormat="1" ht="37" customHeight="1" outlineLevel="3" spans="1:7">
      <c r="A113" s="30" t="s">
        <v>441</v>
      </c>
      <c r="B113" s="31"/>
      <c r="C113" s="31"/>
      <c r="D113" s="32">
        <v>113865.5</v>
      </c>
      <c r="E113" s="32">
        <v>113865.5</v>
      </c>
      <c r="F113" s="31"/>
      <c r="G113" s="31"/>
    </row>
    <row r="114" s="11" customFormat="1" ht="37" customHeight="1" outlineLevel="3" spans="1:7">
      <c r="A114" s="30" t="s">
        <v>442</v>
      </c>
      <c r="B114" s="31"/>
      <c r="C114" s="31"/>
      <c r="D114" s="32">
        <v>89465.75</v>
      </c>
      <c r="E114" s="32">
        <v>89465.75</v>
      </c>
      <c r="F114" s="31"/>
      <c r="G114" s="31"/>
    </row>
    <row r="115" s="11" customFormat="1" ht="37" customHeight="1" outlineLevel="3" spans="1:7">
      <c r="A115" s="30" t="s">
        <v>443</v>
      </c>
      <c r="B115" s="31"/>
      <c r="C115" s="31"/>
      <c r="D115" s="32">
        <v>23657.7</v>
      </c>
      <c r="E115" s="32">
        <v>23657.7</v>
      </c>
      <c r="F115" s="31"/>
      <c r="G115" s="31"/>
    </row>
    <row r="116" s="11" customFormat="1" ht="37" customHeight="1" outlineLevel="3" spans="1:7">
      <c r="A116" s="30" t="s">
        <v>444</v>
      </c>
      <c r="B116" s="31"/>
      <c r="C116" s="31"/>
      <c r="D116" s="32">
        <v>47315.4</v>
      </c>
      <c r="E116" s="32">
        <v>47315.4</v>
      </c>
      <c r="F116" s="31"/>
      <c r="G116" s="31"/>
    </row>
    <row r="117" s="11" customFormat="1" ht="37" customHeight="1" outlineLevel="3" spans="1:7">
      <c r="A117" s="30" t="s">
        <v>445</v>
      </c>
      <c r="B117" s="31"/>
      <c r="C117" s="31"/>
      <c r="D117" s="32">
        <v>47315.4</v>
      </c>
      <c r="E117" s="32">
        <v>47315.4</v>
      </c>
      <c r="F117" s="31"/>
      <c r="G117" s="31"/>
    </row>
    <row r="118" s="11" customFormat="1" ht="37" customHeight="1" outlineLevel="3" spans="1:7">
      <c r="A118" s="30" t="s">
        <v>446</v>
      </c>
      <c r="B118" s="31"/>
      <c r="C118" s="31"/>
      <c r="D118" s="32">
        <v>39429.5</v>
      </c>
      <c r="E118" s="32">
        <v>39429.5</v>
      </c>
      <c r="F118" s="31"/>
      <c r="G118" s="31"/>
    </row>
    <row r="119" s="11" customFormat="1" ht="37" customHeight="1" outlineLevel="3" spans="1:7">
      <c r="A119" s="30" t="s">
        <v>447</v>
      </c>
      <c r="B119" s="31"/>
      <c r="C119" s="31"/>
      <c r="D119" s="32">
        <v>47315.4</v>
      </c>
      <c r="E119" s="32">
        <v>47315.4</v>
      </c>
      <c r="F119" s="31"/>
      <c r="G119" s="31"/>
    </row>
    <row r="120" s="11" customFormat="1" ht="37" customHeight="1" outlineLevel="3" spans="1:7">
      <c r="A120" s="30" t="s">
        <v>448</v>
      </c>
      <c r="B120" s="31"/>
      <c r="C120" s="31"/>
      <c r="D120" s="32">
        <v>103767.2</v>
      </c>
      <c r="E120" s="32">
        <v>103767.2</v>
      </c>
      <c r="F120" s="31"/>
      <c r="G120" s="31"/>
    </row>
    <row r="121" s="11" customFormat="1" ht="37" customHeight="1" outlineLevel="3" spans="1:7">
      <c r="A121" s="30" t="s">
        <v>449</v>
      </c>
      <c r="B121" s="31"/>
      <c r="C121" s="31"/>
      <c r="D121" s="32">
        <v>73199.25</v>
      </c>
      <c r="E121" s="32">
        <v>73199.25</v>
      </c>
      <c r="F121" s="31"/>
      <c r="G121" s="31"/>
    </row>
    <row r="122" s="11" customFormat="1" ht="37" customHeight="1" outlineLevel="3" spans="1:7">
      <c r="A122" s="30" t="s">
        <v>450</v>
      </c>
      <c r="B122" s="31"/>
      <c r="C122" s="31"/>
      <c r="D122" s="32">
        <v>39429.5</v>
      </c>
      <c r="E122" s="32">
        <v>39429.5</v>
      </c>
      <c r="F122" s="31"/>
      <c r="G122" s="31"/>
    </row>
    <row r="123" s="11" customFormat="1" ht="37" customHeight="1" outlineLevel="3" spans="1:7">
      <c r="A123" s="30" t="s">
        <v>451</v>
      </c>
      <c r="B123" s="31"/>
      <c r="C123" s="31"/>
      <c r="D123" s="32">
        <v>56932.75</v>
      </c>
      <c r="E123" s="32">
        <v>56932.75</v>
      </c>
      <c r="F123" s="31"/>
      <c r="G123" s="31"/>
    </row>
    <row r="124" s="11" customFormat="1" ht="37" customHeight="1" outlineLevel="3" spans="1:7">
      <c r="A124" s="30" t="s">
        <v>452</v>
      </c>
      <c r="B124" s="31"/>
      <c r="C124" s="31"/>
      <c r="D124" s="32">
        <v>55201.3</v>
      </c>
      <c r="E124" s="32">
        <v>55201.3</v>
      </c>
      <c r="F124" s="31"/>
      <c r="G124" s="31"/>
    </row>
    <row r="125" s="11" customFormat="1" ht="37" customHeight="1" outlineLevel="3" spans="1:7">
      <c r="A125" s="30" t="s">
        <v>453</v>
      </c>
      <c r="B125" s="31"/>
      <c r="C125" s="31"/>
      <c r="D125" s="32">
        <v>113865.5</v>
      </c>
      <c r="E125" s="32">
        <v>113865.5</v>
      </c>
      <c r="F125" s="31"/>
      <c r="G125" s="31"/>
    </row>
    <row r="126" s="11" customFormat="1" ht="37" customHeight="1" outlineLevel="3" spans="1:7">
      <c r="A126" s="30" t="s">
        <v>454</v>
      </c>
      <c r="B126" s="31"/>
      <c r="C126" s="31"/>
      <c r="D126" s="32">
        <v>113865.5</v>
      </c>
      <c r="E126" s="32">
        <v>113865.5</v>
      </c>
      <c r="F126" s="31"/>
      <c r="G126" s="31"/>
    </row>
    <row r="127" s="11" customFormat="1" ht="37" customHeight="1" outlineLevel="3" spans="1:7">
      <c r="A127" s="30" t="s">
        <v>455</v>
      </c>
      <c r="B127" s="31"/>
      <c r="C127" s="31"/>
      <c r="D127" s="32">
        <v>47315.4</v>
      </c>
      <c r="E127" s="32">
        <v>47315.4</v>
      </c>
      <c r="F127" s="31"/>
      <c r="G127" s="31"/>
    </row>
    <row r="128" s="11" customFormat="1" ht="37" customHeight="1" outlineLevel="3" spans="1:7">
      <c r="A128" s="30" t="s">
        <v>456</v>
      </c>
      <c r="B128" s="31"/>
      <c r="C128" s="31"/>
      <c r="D128" s="32">
        <v>47315.4</v>
      </c>
      <c r="E128" s="32">
        <v>47315.4</v>
      </c>
      <c r="F128" s="31"/>
      <c r="G128" s="31"/>
    </row>
    <row r="129" s="11" customFormat="1" ht="37" customHeight="1" outlineLevel="3" spans="1:7">
      <c r="A129" s="30" t="s">
        <v>457</v>
      </c>
      <c r="B129" s="31"/>
      <c r="C129" s="31"/>
      <c r="D129" s="32">
        <v>23657.68</v>
      </c>
      <c r="E129" s="32">
        <v>23657.68</v>
      </c>
      <c r="F129" s="31"/>
      <c r="G129" s="31"/>
    </row>
    <row r="130" s="11" customFormat="1" ht="37" customHeight="1" outlineLevel="3" spans="1:7">
      <c r="A130" s="30" t="s">
        <v>458</v>
      </c>
      <c r="B130" s="31"/>
      <c r="C130" s="31"/>
      <c r="D130" s="32">
        <v>86744.83</v>
      </c>
      <c r="E130" s="32">
        <v>86744.83</v>
      </c>
      <c r="F130" s="31"/>
      <c r="G130" s="31"/>
    </row>
    <row r="131" s="11" customFormat="1" ht="37" customHeight="1" outlineLevel="3" spans="1:7">
      <c r="A131" s="30" t="s">
        <v>459</v>
      </c>
      <c r="B131" s="31"/>
      <c r="C131" s="31"/>
      <c r="D131" s="32">
        <v>113865.5</v>
      </c>
      <c r="E131" s="32">
        <v>113865.5</v>
      </c>
      <c r="F131" s="31"/>
      <c r="G131" s="31"/>
    </row>
    <row r="132" s="11" customFormat="1" ht="37" customHeight="1" outlineLevel="3" spans="1:7">
      <c r="A132" s="30" t="s">
        <v>460</v>
      </c>
      <c r="B132" s="31"/>
      <c r="C132" s="31"/>
      <c r="D132" s="32">
        <v>113865.5</v>
      </c>
      <c r="E132" s="32">
        <v>113865.5</v>
      </c>
      <c r="F132" s="31"/>
      <c r="G132" s="31"/>
    </row>
    <row r="133" s="11" customFormat="1" ht="37" customHeight="1" outlineLevel="3" spans="1:7">
      <c r="A133" s="30" t="s">
        <v>461</v>
      </c>
      <c r="B133" s="31"/>
      <c r="C133" s="31"/>
      <c r="D133" s="32">
        <v>38912.7</v>
      </c>
      <c r="E133" s="32">
        <v>38912.7</v>
      </c>
      <c r="F133" s="31"/>
      <c r="G133" s="31"/>
    </row>
    <row r="134" s="11" customFormat="1" ht="37" customHeight="1" outlineLevel="3" spans="1:7">
      <c r="A134" s="30" t="s">
        <v>462</v>
      </c>
      <c r="B134" s="31"/>
      <c r="C134" s="31"/>
      <c r="D134" s="32">
        <v>38912.7</v>
      </c>
      <c r="E134" s="32">
        <v>38912.7</v>
      </c>
      <c r="F134" s="31"/>
      <c r="G134" s="31"/>
    </row>
    <row r="135" s="11" customFormat="1" ht="37" customHeight="1" outlineLevel="3" spans="1:7">
      <c r="A135" s="30" t="s">
        <v>463</v>
      </c>
      <c r="B135" s="31"/>
      <c r="C135" s="31"/>
      <c r="D135" s="32">
        <v>38912.7</v>
      </c>
      <c r="E135" s="32">
        <v>38912.7</v>
      </c>
      <c r="F135" s="31"/>
      <c r="G135" s="31"/>
    </row>
    <row r="136" s="11" customFormat="1" ht="37" customHeight="1" outlineLevel="3" spans="1:7">
      <c r="A136" s="30" t="s">
        <v>464</v>
      </c>
      <c r="B136" s="31"/>
      <c r="C136" s="31"/>
      <c r="D136" s="32">
        <v>38912.7</v>
      </c>
      <c r="E136" s="32">
        <v>38912.7</v>
      </c>
      <c r="F136" s="31"/>
      <c r="G136" s="31"/>
    </row>
    <row r="137" s="11" customFormat="1" ht="37" customHeight="1" outlineLevel="3" spans="1:7">
      <c r="A137" s="30" t="s">
        <v>465</v>
      </c>
      <c r="B137" s="31"/>
      <c r="C137" s="31"/>
      <c r="D137" s="32">
        <v>113865.5</v>
      </c>
      <c r="E137" s="32">
        <v>113865.5</v>
      </c>
      <c r="F137" s="31"/>
      <c r="G137" s="31"/>
    </row>
    <row r="138" s="11" customFormat="1" ht="37" customHeight="1" outlineLevel="3" spans="1:7">
      <c r="A138" s="30" t="s">
        <v>466</v>
      </c>
      <c r="B138" s="31"/>
      <c r="C138" s="31"/>
      <c r="D138" s="32">
        <v>47315.4</v>
      </c>
      <c r="E138" s="32">
        <v>47315.4</v>
      </c>
      <c r="F138" s="31"/>
      <c r="G138" s="31"/>
    </row>
    <row r="139" s="11" customFormat="1" ht="37" customHeight="1" outlineLevel="3" spans="1:7">
      <c r="A139" s="30" t="s">
        <v>467</v>
      </c>
      <c r="B139" s="31"/>
      <c r="C139" s="31"/>
      <c r="D139" s="32">
        <v>103767.2</v>
      </c>
      <c r="E139" s="32">
        <v>103767.2</v>
      </c>
      <c r="F139" s="31"/>
      <c r="G139" s="31"/>
    </row>
    <row r="140" s="11" customFormat="1" ht="37" customHeight="1" outlineLevel="3" spans="1:7">
      <c r="A140" s="30" t="s">
        <v>468</v>
      </c>
      <c r="B140" s="31"/>
      <c r="C140" s="31"/>
      <c r="D140" s="32">
        <v>113865.5</v>
      </c>
      <c r="E140" s="32">
        <v>113865.5</v>
      </c>
      <c r="F140" s="31"/>
      <c r="G140" s="31"/>
    </row>
    <row r="141" s="11" customFormat="1" ht="37" customHeight="1" outlineLevel="3" spans="1:7">
      <c r="A141" s="30" t="s">
        <v>469</v>
      </c>
      <c r="B141" s="31"/>
      <c r="C141" s="31"/>
      <c r="D141" s="32">
        <v>113865.5</v>
      </c>
      <c r="E141" s="32">
        <v>113865.5</v>
      </c>
      <c r="F141" s="31"/>
      <c r="G141" s="31"/>
    </row>
    <row r="142" s="11" customFormat="1" ht="37" customHeight="1" outlineLevel="3" spans="1:7">
      <c r="A142" s="30" t="s">
        <v>470</v>
      </c>
      <c r="B142" s="31"/>
      <c r="C142" s="31"/>
      <c r="D142" s="32">
        <v>113865.5</v>
      </c>
      <c r="E142" s="32">
        <v>113865.5</v>
      </c>
      <c r="F142" s="31"/>
      <c r="G142" s="31"/>
    </row>
    <row r="143" s="11" customFormat="1" ht="37" customHeight="1" outlineLevel="3" spans="1:7">
      <c r="A143" s="30" t="s">
        <v>471</v>
      </c>
      <c r="B143" s="31"/>
      <c r="C143" s="31"/>
      <c r="D143" s="32">
        <v>39429.5</v>
      </c>
      <c r="E143" s="32">
        <v>39429.5</v>
      </c>
      <c r="F143" s="31"/>
      <c r="G143" s="31"/>
    </row>
    <row r="144" s="11" customFormat="1" ht="37" customHeight="1" outlineLevel="3" spans="1:7">
      <c r="A144" s="30" t="s">
        <v>472</v>
      </c>
      <c r="B144" s="31"/>
      <c r="C144" s="31"/>
      <c r="D144" s="32">
        <v>103767.2</v>
      </c>
      <c r="E144" s="32">
        <v>103767.2</v>
      </c>
      <c r="F144" s="31"/>
      <c r="G144" s="31"/>
    </row>
    <row r="145" s="11" customFormat="1" ht="37" customHeight="1" outlineLevel="3" spans="1:7">
      <c r="A145" s="30" t="s">
        <v>473</v>
      </c>
      <c r="B145" s="31"/>
      <c r="C145" s="31"/>
      <c r="D145" s="32">
        <v>103767.2</v>
      </c>
      <c r="E145" s="32">
        <v>103767.2</v>
      </c>
      <c r="F145" s="31"/>
      <c r="G145" s="31"/>
    </row>
    <row r="146" s="11" customFormat="1" ht="37" customHeight="1" outlineLevel="3" spans="1:7">
      <c r="A146" s="30" t="s">
        <v>474</v>
      </c>
      <c r="B146" s="31"/>
      <c r="C146" s="31"/>
      <c r="D146" s="32">
        <v>103767.2</v>
      </c>
      <c r="E146" s="32">
        <v>103767.2</v>
      </c>
      <c r="F146" s="31"/>
      <c r="G146" s="31"/>
    </row>
    <row r="147" s="11" customFormat="1" ht="37" customHeight="1" outlineLevel="3" spans="1:7">
      <c r="A147" s="30" t="s">
        <v>475</v>
      </c>
      <c r="B147" s="31"/>
      <c r="C147" s="31"/>
      <c r="D147" s="32">
        <v>103767.2</v>
      </c>
      <c r="E147" s="32">
        <v>103767.2</v>
      </c>
      <c r="F147" s="31"/>
      <c r="G147" s="31"/>
    </row>
    <row r="148" s="11" customFormat="1" ht="37" customHeight="1" outlineLevel="3" spans="1:7">
      <c r="A148" s="30" t="s">
        <v>476</v>
      </c>
      <c r="B148" s="31"/>
      <c r="C148" s="31"/>
      <c r="D148" s="32">
        <v>47315.4</v>
      </c>
      <c r="E148" s="32">
        <v>47315.4</v>
      </c>
      <c r="F148" s="31"/>
      <c r="G148" s="31"/>
    </row>
    <row r="149" s="11" customFormat="1" ht="37" customHeight="1" outlineLevel="3" spans="1:7">
      <c r="A149" s="30" t="s">
        <v>477</v>
      </c>
      <c r="B149" s="31"/>
      <c r="C149" s="31"/>
      <c r="D149" s="32">
        <v>47315.4</v>
      </c>
      <c r="E149" s="32">
        <v>47315.4</v>
      </c>
      <c r="F149" s="31"/>
      <c r="G149" s="31"/>
    </row>
    <row r="150" s="11" customFormat="1" ht="37" customHeight="1" outlineLevel="3" spans="1:7">
      <c r="A150" s="30" t="s">
        <v>478</v>
      </c>
      <c r="B150" s="31"/>
      <c r="C150" s="31"/>
      <c r="D150" s="32">
        <v>47315.4</v>
      </c>
      <c r="E150" s="32">
        <v>47315.4</v>
      </c>
      <c r="F150" s="31"/>
      <c r="G150" s="31"/>
    </row>
    <row r="151" s="11" customFormat="1" ht="37" customHeight="1" outlineLevel="3" spans="1:7">
      <c r="A151" s="30" t="s">
        <v>479</v>
      </c>
      <c r="B151" s="31"/>
      <c r="C151" s="31"/>
      <c r="D151" s="32">
        <v>102516.7</v>
      </c>
      <c r="E151" s="32">
        <v>102516.7</v>
      </c>
      <c r="F151" s="31"/>
      <c r="G151" s="31"/>
    </row>
    <row r="152" s="11" customFormat="1" ht="37" customHeight="1" outlineLevel="3" spans="1:7">
      <c r="A152" s="30" t="s">
        <v>480</v>
      </c>
      <c r="B152" s="31"/>
      <c r="C152" s="31"/>
      <c r="D152" s="32">
        <v>43114.05</v>
      </c>
      <c r="E152" s="32">
        <v>43114.05</v>
      </c>
      <c r="F152" s="31"/>
      <c r="G152" s="31"/>
    </row>
    <row r="153" s="11" customFormat="1" ht="37" customHeight="1" outlineLevel="3" spans="1:7">
      <c r="A153" s="30" t="s">
        <v>481</v>
      </c>
      <c r="B153" s="31"/>
      <c r="C153" s="31"/>
      <c r="D153" s="32">
        <v>130132</v>
      </c>
      <c r="E153" s="32">
        <v>130132</v>
      </c>
      <c r="F153" s="31"/>
      <c r="G153" s="31"/>
    </row>
    <row r="154" s="11" customFormat="1" ht="37" customHeight="1" outlineLevel="3" spans="1:7">
      <c r="A154" s="30" t="s">
        <v>482</v>
      </c>
      <c r="B154" s="31"/>
      <c r="C154" s="31"/>
      <c r="D154" s="32">
        <v>130132</v>
      </c>
      <c r="E154" s="32">
        <v>130132</v>
      </c>
      <c r="F154" s="31"/>
      <c r="G154" s="31"/>
    </row>
    <row r="155" s="11" customFormat="1" ht="37" customHeight="1" outlineLevel="3" spans="1:7">
      <c r="A155" s="30" t="s">
        <v>483</v>
      </c>
      <c r="B155" s="31"/>
      <c r="C155" s="31"/>
      <c r="D155" s="32">
        <v>126723.68</v>
      </c>
      <c r="E155" s="31"/>
      <c r="F155" s="32">
        <v>126723.68</v>
      </c>
      <c r="G155" s="31"/>
    </row>
    <row r="156" s="11" customFormat="1" ht="37" customHeight="1" outlineLevel="3" spans="1:7">
      <c r="A156" s="30" t="s">
        <v>484</v>
      </c>
      <c r="B156" s="31"/>
      <c r="C156" s="31"/>
      <c r="D156" s="32">
        <v>126723.68</v>
      </c>
      <c r="E156" s="31"/>
      <c r="F156" s="32">
        <v>126723.68</v>
      </c>
      <c r="G156" s="31"/>
    </row>
    <row r="157" s="11" customFormat="1" ht="37" customHeight="1" outlineLevel="3" spans="1:7">
      <c r="A157" s="30" t="s">
        <v>485</v>
      </c>
      <c r="B157" s="31"/>
      <c r="C157" s="31"/>
      <c r="D157" s="32">
        <v>130132</v>
      </c>
      <c r="E157" s="31"/>
      <c r="F157" s="32">
        <v>130132</v>
      </c>
      <c r="G157" s="31"/>
    </row>
    <row r="158" s="11" customFormat="1" ht="37" customHeight="1" outlineLevel="3" spans="1:7">
      <c r="A158" s="30" t="s">
        <v>486</v>
      </c>
      <c r="B158" s="31"/>
      <c r="C158" s="31"/>
      <c r="D158" s="32">
        <v>32427.25</v>
      </c>
      <c r="E158" s="32">
        <v>32427.25</v>
      </c>
      <c r="F158" s="31"/>
      <c r="G158" s="31"/>
    </row>
    <row r="159" s="11" customFormat="1" ht="37" customHeight="1" outlineLevel="3" spans="1:7">
      <c r="A159" s="30" t="s">
        <v>487</v>
      </c>
      <c r="B159" s="31"/>
      <c r="C159" s="31"/>
      <c r="D159" s="32">
        <v>126723.68</v>
      </c>
      <c r="E159" s="31"/>
      <c r="F159" s="32">
        <v>126723.68</v>
      </c>
      <c r="G159" s="31"/>
    </row>
    <row r="160" s="11" customFormat="1" ht="37" customHeight="1" outlineLevel="3" spans="1:7">
      <c r="A160" s="30" t="s">
        <v>488</v>
      </c>
      <c r="B160" s="31"/>
      <c r="C160" s="31"/>
      <c r="D160" s="32">
        <v>126723.68</v>
      </c>
      <c r="E160" s="31"/>
      <c r="F160" s="32">
        <v>126723.68</v>
      </c>
      <c r="G160" s="31"/>
    </row>
    <row r="161" s="11" customFormat="1" ht="37" customHeight="1" outlineLevel="3" spans="1:7">
      <c r="A161" s="30" t="s">
        <v>489</v>
      </c>
      <c r="B161" s="31"/>
      <c r="C161" s="31"/>
      <c r="D161" s="32">
        <v>47315.4</v>
      </c>
      <c r="E161" s="32">
        <v>47315.4</v>
      </c>
      <c r="F161" s="31"/>
      <c r="G161" s="31"/>
    </row>
    <row r="162" s="11" customFormat="1" ht="37" customHeight="1" outlineLevel="3" spans="1:7">
      <c r="A162" s="30" t="s">
        <v>490</v>
      </c>
      <c r="B162" s="31"/>
      <c r="C162" s="31"/>
      <c r="D162" s="32">
        <v>47315.4</v>
      </c>
      <c r="E162" s="32">
        <v>47315.4</v>
      </c>
      <c r="F162" s="31"/>
      <c r="G162" s="31"/>
    </row>
    <row r="163" s="11" customFormat="1" ht="37" customHeight="1" outlineLevel="3" spans="1:7">
      <c r="A163" s="30" t="s">
        <v>491</v>
      </c>
      <c r="B163" s="31"/>
      <c r="C163" s="31"/>
      <c r="D163" s="32">
        <v>47315.4</v>
      </c>
      <c r="E163" s="32">
        <v>47315.4</v>
      </c>
      <c r="F163" s="31"/>
      <c r="G163" s="31"/>
    </row>
    <row r="164" s="11" customFormat="1" ht="37" customHeight="1" outlineLevel="3" spans="1:7">
      <c r="A164" s="30" t="s">
        <v>492</v>
      </c>
      <c r="B164" s="31"/>
      <c r="C164" s="31"/>
      <c r="D164" s="32">
        <v>47315.4</v>
      </c>
      <c r="E164" s="32">
        <v>47315.4</v>
      </c>
      <c r="F164" s="31"/>
      <c r="G164" s="31"/>
    </row>
    <row r="165" s="11" customFormat="1" ht="37" customHeight="1" outlineLevel="3" spans="1:7">
      <c r="A165" s="30" t="s">
        <v>493</v>
      </c>
      <c r="B165" s="31"/>
      <c r="C165" s="31"/>
      <c r="D165" s="32">
        <v>47315.4</v>
      </c>
      <c r="E165" s="32">
        <v>47315.4</v>
      </c>
      <c r="F165" s="31"/>
      <c r="G165" s="31"/>
    </row>
    <row r="166" s="11" customFormat="1" ht="37" customHeight="1" outlineLevel="3" spans="1:7">
      <c r="A166" s="30" t="s">
        <v>494</v>
      </c>
      <c r="B166" s="31"/>
      <c r="C166" s="31"/>
      <c r="D166" s="32">
        <v>126174.4</v>
      </c>
      <c r="E166" s="31"/>
      <c r="F166" s="32">
        <v>126174.4</v>
      </c>
      <c r="G166" s="31"/>
    </row>
    <row r="167" s="11" customFormat="1" ht="37" customHeight="1" outlineLevel="3" spans="1:7">
      <c r="A167" s="30" t="s">
        <v>495</v>
      </c>
      <c r="B167" s="31"/>
      <c r="C167" s="31"/>
      <c r="D167" s="32">
        <v>126174.4</v>
      </c>
      <c r="E167" s="31"/>
      <c r="F167" s="32">
        <v>126174.4</v>
      </c>
      <c r="G167" s="31"/>
    </row>
    <row r="168" s="11" customFormat="1" ht="37" customHeight="1" outlineLevel="3" spans="1:7">
      <c r="A168" s="30" t="s">
        <v>496</v>
      </c>
      <c r="B168" s="31"/>
      <c r="C168" s="31"/>
      <c r="D168" s="32">
        <v>47315.4</v>
      </c>
      <c r="E168" s="32">
        <v>47315.4</v>
      </c>
      <c r="F168" s="31"/>
      <c r="G168" s="31"/>
    </row>
    <row r="169" s="11" customFormat="1" ht="37" customHeight="1" outlineLevel="3" spans="1:7">
      <c r="A169" s="30" t="s">
        <v>497</v>
      </c>
      <c r="B169" s="31"/>
      <c r="C169" s="31"/>
      <c r="D169" s="32">
        <v>47315.4</v>
      </c>
      <c r="E169" s="32">
        <v>47315.4</v>
      </c>
      <c r="F169" s="31"/>
      <c r="G169" s="31"/>
    </row>
    <row r="170" s="11" customFormat="1" ht="37" customHeight="1" outlineLevel="3" spans="1:7">
      <c r="A170" s="30" t="s">
        <v>498</v>
      </c>
      <c r="B170" s="31"/>
      <c r="C170" s="31"/>
      <c r="D170" s="32">
        <v>47315.4</v>
      </c>
      <c r="E170" s="32">
        <v>47315.4</v>
      </c>
      <c r="F170" s="31"/>
      <c r="G170" s="31"/>
    </row>
    <row r="171" s="11" customFormat="1" ht="37" customHeight="1" outlineLevel="3" spans="1:7">
      <c r="A171" s="30" t="s">
        <v>499</v>
      </c>
      <c r="B171" s="31"/>
      <c r="C171" s="31"/>
      <c r="D171" s="32">
        <v>130132</v>
      </c>
      <c r="E171" s="31"/>
      <c r="F171" s="32">
        <v>130132</v>
      </c>
      <c r="G171" s="31"/>
    </row>
    <row r="172" s="11" customFormat="1" ht="37" customHeight="1" outlineLevel="3" spans="1:7">
      <c r="A172" s="30" t="s">
        <v>500</v>
      </c>
      <c r="B172" s="31"/>
      <c r="C172" s="31"/>
      <c r="D172" s="32">
        <v>126723.68</v>
      </c>
      <c r="E172" s="31"/>
      <c r="F172" s="32">
        <v>126723.68</v>
      </c>
      <c r="G172" s="31"/>
    </row>
    <row r="173" s="11" customFormat="1" ht="37" customHeight="1" outlineLevel="3" spans="1:7">
      <c r="A173" s="30" t="s">
        <v>501</v>
      </c>
      <c r="B173" s="31"/>
      <c r="C173" s="31"/>
      <c r="D173" s="32">
        <v>126723.68</v>
      </c>
      <c r="E173" s="31"/>
      <c r="F173" s="32">
        <v>126723.68</v>
      </c>
      <c r="G173" s="31"/>
    </row>
    <row r="174" s="11" customFormat="1" ht="37" customHeight="1" outlineLevel="3" spans="1:7">
      <c r="A174" s="30" t="s">
        <v>502</v>
      </c>
      <c r="B174" s="31"/>
      <c r="C174" s="31"/>
      <c r="D174" s="32">
        <v>47315.4</v>
      </c>
      <c r="E174" s="32">
        <v>47315.4</v>
      </c>
      <c r="F174" s="31"/>
      <c r="G174" s="31"/>
    </row>
    <row r="175" s="11" customFormat="1" ht="37" customHeight="1" outlineLevel="3" spans="1:7">
      <c r="A175" s="30" t="s">
        <v>503</v>
      </c>
      <c r="B175" s="31"/>
      <c r="C175" s="31"/>
      <c r="D175" s="32">
        <v>47315.4</v>
      </c>
      <c r="E175" s="32">
        <v>47315.4</v>
      </c>
      <c r="F175" s="31"/>
      <c r="G175" s="31"/>
    </row>
    <row r="176" s="11" customFormat="1" ht="37" customHeight="1" outlineLevel="3" spans="1:7">
      <c r="A176" s="30" t="s">
        <v>504</v>
      </c>
      <c r="B176" s="31"/>
      <c r="C176" s="31"/>
      <c r="D176" s="32">
        <v>47315.4</v>
      </c>
      <c r="E176" s="32">
        <v>47315.4</v>
      </c>
      <c r="F176" s="31"/>
      <c r="G176" s="31"/>
    </row>
    <row r="177" s="11" customFormat="1" ht="37" customHeight="1" outlineLevel="3" spans="1:7">
      <c r="A177" s="30" t="s">
        <v>505</v>
      </c>
      <c r="B177" s="31"/>
      <c r="C177" s="31"/>
      <c r="D177" s="32">
        <v>126174.4</v>
      </c>
      <c r="E177" s="31"/>
      <c r="F177" s="32">
        <v>126174.4</v>
      </c>
      <c r="G177" s="31"/>
    </row>
    <row r="178" s="11" customFormat="1" ht="37" customHeight="1" outlineLevel="3" spans="1:7">
      <c r="A178" s="30" t="s">
        <v>506</v>
      </c>
      <c r="B178" s="31"/>
      <c r="C178" s="31"/>
      <c r="D178" s="32">
        <v>128647.9</v>
      </c>
      <c r="E178" s="31"/>
      <c r="F178" s="32">
        <v>128647.9</v>
      </c>
      <c r="G178" s="31"/>
    </row>
    <row r="179" s="11" customFormat="1" ht="37" customHeight="1" outlineLevel="3" spans="1:7">
      <c r="A179" s="30" t="s">
        <v>507</v>
      </c>
      <c r="B179" s="31"/>
      <c r="C179" s="31"/>
      <c r="D179" s="32">
        <v>126723.68</v>
      </c>
      <c r="E179" s="31"/>
      <c r="F179" s="32">
        <v>126723.68</v>
      </c>
      <c r="G179" s="31"/>
    </row>
    <row r="180" s="11" customFormat="1" ht="37" customHeight="1" outlineLevel="3" spans="1:7">
      <c r="A180" s="30" t="s">
        <v>508</v>
      </c>
      <c r="B180" s="31"/>
      <c r="C180" s="31"/>
      <c r="D180" s="32">
        <v>126723.68</v>
      </c>
      <c r="E180" s="31"/>
      <c r="F180" s="32">
        <v>126723.68</v>
      </c>
      <c r="G180" s="31"/>
    </row>
    <row r="181" s="11" customFormat="1" ht="37" customHeight="1" outlineLevel="3" spans="1:7">
      <c r="A181" s="30" t="s">
        <v>509</v>
      </c>
      <c r="B181" s="31"/>
      <c r="C181" s="31"/>
      <c r="D181" s="32">
        <v>137316.68</v>
      </c>
      <c r="E181" s="32">
        <v>137316.68</v>
      </c>
      <c r="F181" s="31"/>
      <c r="G181" s="31"/>
    </row>
    <row r="182" s="11" customFormat="1" ht="37" customHeight="1" outlineLevel="3" spans="1:7">
      <c r="A182" s="30" t="s">
        <v>510</v>
      </c>
      <c r="B182" s="31"/>
      <c r="C182" s="31"/>
      <c r="D182" s="32">
        <v>47315.4</v>
      </c>
      <c r="E182" s="32">
        <v>47315.4</v>
      </c>
      <c r="F182" s="31"/>
      <c r="G182" s="31"/>
    </row>
    <row r="183" s="11" customFormat="1" ht="37" customHeight="1" outlineLevel="3" spans="1:7">
      <c r="A183" s="30" t="s">
        <v>511</v>
      </c>
      <c r="B183" s="31"/>
      <c r="C183" s="31"/>
      <c r="D183" s="32">
        <v>47315.4</v>
      </c>
      <c r="E183" s="32">
        <v>47315.4</v>
      </c>
      <c r="F183" s="31"/>
      <c r="G183" s="31"/>
    </row>
    <row r="184" s="11" customFormat="1" ht="37" customHeight="1" outlineLevel="3" spans="1:7">
      <c r="A184" s="30" t="s">
        <v>512</v>
      </c>
      <c r="B184" s="31"/>
      <c r="C184" s="31"/>
      <c r="D184" s="32">
        <v>47315.4</v>
      </c>
      <c r="E184" s="32">
        <v>47315.4</v>
      </c>
      <c r="F184" s="31"/>
      <c r="G184" s="31"/>
    </row>
    <row r="185" s="11" customFormat="1" ht="37" customHeight="1" outlineLevel="3" spans="1:7">
      <c r="A185" s="30" t="s">
        <v>513</v>
      </c>
      <c r="B185" s="31"/>
      <c r="C185" s="31"/>
      <c r="D185" s="32">
        <v>47315.4</v>
      </c>
      <c r="E185" s="32">
        <v>47315.4</v>
      </c>
      <c r="F185" s="31"/>
      <c r="G185" s="31"/>
    </row>
    <row r="186" s="11" customFormat="1" ht="37" customHeight="1" outlineLevel="3" spans="1:7">
      <c r="A186" s="30" t="s">
        <v>514</v>
      </c>
      <c r="B186" s="31"/>
      <c r="C186" s="31"/>
      <c r="D186" s="32">
        <v>135551.18</v>
      </c>
      <c r="E186" s="31"/>
      <c r="F186" s="32">
        <v>135551.18</v>
      </c>
      <c r="G186" s="31"/>
    </row>
    <row r="187" s="11" customFormat="1" ht="37" customHeight="1" outlineLevel="3" spans="1:7">
      <c r="A187" s="30" t="s">
        <v>515</v>
      </c>
      <c r="B187" s="31"/>
      <c r="C187" s="31"/>
      <c r="D187" s="32">
        <v>137316.68</v>
      </c>
      <c r="E187" s="32">
        <v>137316.68</v>
      </c>
      <c r="F187" s="31"/>
      <c r="G187" s="31"/>
    </row>
    <row r="188" s="11" customFormat="1" ht="37" customHeight="1" outlineLevel="3" spans="1:7">
      <c r="A188" s="30" t="s">
        <v>516</v>
      </c>
      <c r="B188" s="31"/>
      <c r="C188" s="31"/>
      <c r="D188" s="32">
        <v>113865.5</v>
      </c>
      <c r="E188" s="32">
        <v>113865.5</v>
      </c>
      <c r="F188" s="31"/>
      <c r="G188" s="31"/>
    </row>
    <row r="189" s="11" customFormat="1" ht="37" customHeight="1" outlineLevel="3" spans="1:7">
      <c r="A189" s="30" t="s">
        <v>517</v>
      </c>
      <c r="B189" s="31"/>
      <c r="C189" s="31"/>
      <c r="D189" s="32">
        <v>103176.01</v>
      </c>
      <c r="E189" s="32">
        <v>103176.01</v>
      </c>
      <c r="F189" s="31"/>
      <c r="G189" s="31"/>
    </row>
    <row r="190" s="11" customFormat="1" ht="37" customHeight="1" outlineLevel="3" spans="1:7">
      <c r="A190" s="30" t="s">
        <v>518</v>
      </c>
      <c r="B190" s="31"/>
      <c r="C190" s="31"/>
      <c r="D190" s="32">
        <v>47315.4</v>
      </c>
      <c r="E190" s="32">
        <v>47315.4</v>
      </c>
      <c r="F190" s="31"/>
      <c r="G190" s="31"/>
    </row>
    <row r="191" s="11" customFormat="1" ht="37" customHeight="1" outlineLevel="3" spans="1:7">
      <c r="A191" s="30" t="s">
        <v>519</v>
      </c>
      <c r="B191" s="31"/>
      <c r="C191" s="31"/>
      <c r="D191" s="32">
        <v>47315.4</v>
      </c>
      <c r="E191" s="32">
        <v>47315.4</v>
      </c>
      <c r="F191" s="31"/>
      <c r="G191" s="31"/>
    </row>
    <row r="192" s="11" customFormat="1" ht="37" customHeight="1" outlineLevel="3" spans="1:7">
      <c r="A192" s="30" t="s">
        <v>520</v>
      </c>
      <c r="B192" s="31"/>
      <c r="C192" s="31"/>
      <c r="D192" s="32">
        <v>48057.45</v>
      </c>
      <c r="E192" s="32">
        <v>48057.45</v>
      </c>
      <c r="F192" s="31"/>
      <c r="G192" s="31"/>
    </row>
    <row r="193" s="11" customFormat="1" ht="37" customHeight="1" outlineLevel="3" spans="1:7">
      <c r="A193" s="30" t="s">
        <v>521</v>
      </c>
      <c r="B193" s="31"/>
      <c r="C193" s="31"/>
      <c r="D193" s="32">
        <v>157718</v>
      </c>
      <c r="E193" s="32">
        <v>157718</v>
      </c>
      <c r="F193" s="31"/>
      <c r="G193" s="31"/>
    </row>
    <row r="194" s="11" customFormat="1" ht="37" customHeight="1" outlineLevel="3" spans="1:7">
      <c r="A194" s="30" t="s">
        <v>522</v>
      </c>
      <c r="B194" s="31"/>
      <c r="C194" s="31"/>
      <c r="D194" s="32">
        <v>47315.4</v>
      </c>
      <c r="E194" s="32">
        <v>47315.4</v>
      </c>
      <c r="F194" s="31"/>
      <c r="G194" s="31"/>
    </row>
    <row r="195" s="11" customFormat="1" ht="37" customHeight="1" outlineLevel="3" spans="1:7">
      <c r="A195" s="30" t="s">
        <v>523</v>
      </c>
      <c r="B195" s="31"/>
      <c r="C195" s="31"/>
      <c r="D195" s="32">
        <v>40666.25</v>
      </c>
      <c r="E195" s="32">
        <v>40666.25</v>
      </c>
      <c r="F195" s="31"/>
      <c r="G195" s="31"/>
    </row>
    <row r="196" s="11" customFormat="1" ht="37" customHeight="1" outlineLevel="3" spans="1:7">
      <c r="A196" s="30" t="s">
        <v>524</v>
      </c>
      <c r="B196" s="31"/>
      <c r="C196" s="31"/>
      <c r="D196" s="32">
        <v>113865.5</v>
      </c>
      <c r="E196" s="31"/>
      <c r="F196" s="32">
        <v>113865.5</v>
      </c>
      <c r="G196" s="31"/>
    </row>
    <row r="197" s="11" customFormat="1" ht="37" customHeight="1" outlineLevel="3" spans="1:7">
      <c r="A197" s="30" t="s">
        <v>525</v>
      </c>
      <c r="B197" s="31"/>
      <c r="C197" s="31"/>
      <c r="D197" s="32">
        <v>113865.5</v>
      </c>
      <c r="E197" s="31"/>
      <c r="F197" s="32">
        <v>113865.5</v>
      </c>
      <c r="G197" s="31"/>
    </row>
    <row r="198" s="11" customFormat="1" ht="37" customHeight="1" outlineLevel="3" spans="1:7">
      <c r="A198" s="30" t="s">
        <v>526</v>
      </c>
      <c r="B198" s="31"/>
      <c r="C198" s="31"/>
      <c r="D198" s="32">
        <v>137316.68</v>
      </c>
      <c r="E198" s="31"/>
      <c r="F198" s="32">
        <v>137316.68</v>
      </c>
      <c r="G198" s="31"/>
    </row>
    <row r="199" s="11" customFormat="1" ht="37" customHeight="1" outlineLevel="3" spans="1:7">
      <c r="A199" s="30" t="s">
        <v>527</v>
      </c>
      <c r="B199" s="31"/>
      <c r="C199" s="31"/>
      <c r="D199" s="32">
        <v>58849.81</v>
      </c>
      <c r="E199" s="32">
        <v>58849.81</v>
      </c>
      <c r="F199" s="31"/>
      <c r="G199" s="31"/>
    </row>
    <row r="200" s="11" customFormat="1" ht="37" customHeight="1" outlineLevel="3" spans="1:7">
      <c r="A200" s="30" t="s">
        <v>528</v>
      </c>
      <c r="B200" s="31"/>
      <c r="C200" s="31"/>
      <c r="D200" s="32">
        <v>113865.5</v>
      </c>
      <c r="E200" s="31"/>
      <c r="F200" s="32">
        <v>113865.5</v>
      </c>
      <c r="G200" s="31"/>
    </row>
    <row r="201" s="11" customFormat="1" ht="37" customHeight="1" outlineLevel="3" spans="1:7">
      <c r="A201" s="30" t="s">
        <v>529</v>
      </c>
      <c r="B201" s="31"/>
      <c r="C201" s="31"/>
      <c r="D201" s="32">
        <v>128153.2</v>
      </c>
      <c r="E201" s="31"/>
      <c r="F201" s="32">
        <v>128153.2</v>
      </c>
      <c r="G201" s="31"/>
    </row>
    <row r="202" s="11" customFormat="1" ht="37" customHeight="1" outlineLevel="3" spans="1:7">
      <c r="A202" s="30" t="s">
        <v>530</v>
      </c>
      <c r="B202" s="31"/>
      <c r="C202" s="31"/>
      <c r="D202" s="32">
        <v>113865.5</v>
      </c>
      <c r="E202" s="31"/>
      <c r="F202" s="32">
        <v>113865.5</v>
      </c>
      <c r="G202" s="31"/>
    </row>
    <row r="203" s="11" customFormat="1" ht="37" customHeight="1" outlineLevel="3" spans="1:7">
      <c r="A203" s="30" t="s">
        <v>531</v>
      </c>
      <c r="B203" s="31"/>
      <c r="C203" s="31"/>
      <c r="D203" s="32">
        <v>137316.68</v>
      </c>
      <c r="E203" s="31"/>
      <c r="F203" s="32">
        <v>137316.68</v>
      </c>
      <c r="G203" s="31"/>
    </row>
    <row r="204" s="11" customFormat="1" ht="37" customHeight="1" outlineLevel="3" spans="1:7">
      <c r="A204" s="30" t="s">
        <v>532</v>
      </c>
      <c r="B204" s="31"/>
      <c r="C204" s="31"/>
      <c r="D204" s="32">
        <v>157718</v>
      </c>
      <c r="E204" s="32">
        <v>157718</v>
      </c>
      <c r="F204" s="31"/>
      <c r="G204" s="31"/>
    </row>
    <row r="205" s="11" customFormat="1" ht="37" customHeight="1" outlineLevel="3" spans="1:7">
      <c r="A205" s="30" t="s">
        <v>533</v>
      </c>
      <c r="B205" s="31"/>
      <c r="C205" s="31"/>
      <c r="D205" s="32">
        <v>29424.9</v>
      </c>
      <c r="E205" s="32">
        <v>29424.9</v>
      </c>
      <c r="F205" s="31"/>
      <c r="G205" s="31"/>
    </row>
    <row r="206" s="11" customFormat="1" ht="37" customHeight="1" outlineLevel="3" spans="1:7">
      <c r="A206" s="30" t="s">
        <v>534</v>
      </c>
      <c r="B206" s="31"/>
      <c r="C206" s="31"/>
      <c r="D206" s="32">
        <v>102138.12</v>
      </c>
      <c r="E206" s="31"/>
      <c r="F206" s="32">
        <v>102138.12</v>
      </c>
      <c r="G206" s="31"/>
    </row>
    <row r="207" s="11" customFormat="1" ht="37" customHeight="1" outlineLevel="3" spans="1:7">
      <c r="A207" s="30" t="s">
        <v>535</v>
      </c>
      <c r="B207" s="31"/>
      <c r="C207" s="31"/>
      <c r="D207" s="32">
        <v>127163.8</v>
      </c>
      <c r="E207" s="31"/>
      <c r="F207" s="32">
        <v>127163.8</v>
      </c>
      <c r="G207" s="31"/>
    </row>
    <row r="208" s="11" customFormat="1" ht="37" customHeight="1" outlineLevel="3" spans="1:7">
      <c r="A208" s="30" t="s">
        <v>536</v>
      </c>
      <c r="B208" s="31"/>
      <c r="C208" s="31"/>
      <c r="D208" s="32">
        <v>157718</v>
      </c>
      <c r="E208" s="32">
        <v>157718</v>
      </c>
      <c r="F208" s="31"/>
      <c r="G208" s="31"/>
    </row>
    <row r="209" s="11" customFormat="1" ht="37" customHeight="1" outlineLevel="3" spans="1:7">
      <c r="A209" s="30" t="s">
        <v>537</v>
      </c>
      <c r="B209" s="31"/>
      <c r="C209" s="31"/>
      <c r="D209" s="32">
        <v>47315.4</v>
      </c>
      <c r="E209" s="32">
        <v>47315.4</v>
      </c>
      <c r="F209" s="31"/>
      <c r="G209" s="31"/>
    </row>
    <row r="210" s="11" customFormat="1" ht="37" customHeight="1" outlineLevel="3" spans="1:7">
      <c r="A210" s="30" t="s">
        <v>538</v>
      </c>
      <c r="B210" s="31"/>
      <c r="C210" s="31"/>
      <c r="D210" s="32">
        <v>47315.4</v>
      </c>
      <c r="E210" s="32">
        <v>47315.4</v>
      </c>
      <c r="F210" s="31"/>
      <c r="G210" s="31"/>
    </row>
    <row r="211" s="11" customFormat="1" ht="37" customHeight="1" outlineLevel="3" spans="1:7">
      <c r="A211" s="30" t="s">
        <v>539</v>
      </c>
      <c r="B211" s="31"/>
      <c r="C211" s="31"/>
      <c r="D211" s="32">
        <v>111392</v>
      </c>
      <c r="E211" s="32">
        <v>111392</v>
      </c>
      <c r="F211" s="31"/>
      <c r="G211" s="31"/>
    </row>
    <row r="212" s="11" customFormat="1" ht="37" customHeight="1" outlineLevel="3" spans="1:7">
      <c r="A212" s="30" t="s">
        <v>540</v>
      </c>
      <c r="B212" s="31"/>
      <c r="C212" s="31"/>
      <c r="D212" s="32">
        <v>157718</v>
      </c>
      <c r="E212" s="32">
        <v>157718</v>
      </c>
      <c r="F212" s="31"/>
      <c r="G212" s="31"/>
    </row>
    <row r="213" s="11" customFormat="1" ht="37" customHeight="1" outlineLevel="3" spans="1:7">
      <c r="A213" s="30" t="s">
        <v>541</v>
      </c>
      <c r="B213" s="31"/>
      <c r="C213" s="31"/>
      <c r="D213" s="32">
        <v>137316.68</v>
      </c>
      <c r="E213" s="32">
        <v>137316.68</v>
      </c>
      <c r="F213" s="31"/>
      <c r="G213" s="31"/>
    </row>
    <row r="214" s="11" customFormat="1" ht="37" customHeight="1" outlineLevel="3" spans="1:7">
      <c r="A214" s="30" t="s">
        <v>542</v>
      </c>
      <c r="B214" s="31"/>
      <c r="C214" s="31"/>
      <c r="D214" s="32">
        <v>137316.68</v>
      </c>
      <c r="E214" s="32">
        <v>137316.68</v>
      </c>
      <c r="F214" s="31"/>
      <c r="G214" s="31"/>
    </row>
    <row r="215" s="11" customFormat="1" ht="37" customHeight="1" outlineLevel="3" spans="1:7">
      <c r="A215" s="30" t="s">
        <v>543</v>
      </c>
      <c r="B215" s="31"/>
      <c r="C215" s="31"/>
      <c r="D215" s="32">
        <v>146398.5</v>
      </c>
      <c r="E215" s="32">
        <v>146398.5</v>
      </c>
      <c r="F215" s="31"/>
      <c r="G215" s="31"/>
    </row>
    <row r="216" s="11" customFormat="1" ht="37" customHeight="1" outlineLevel="3" spans="1:7">
      <c r="A216" s="30" t="s">
        <v>544</v>
      </c>
      <c r="B216" s="31"/>
      <c r="C216" s="31"/>
      <c r="D216" s="32">
        <v>146398.5</v>
      </c>
      <c r="E216" s="32">
        <v>146398.5</v>
      </c>
      <c r="F216" s="31"/>
      <c r="G216" s="31"/>
    </row>
    <row r="217" s="11" customFormat="1" ht="37" customHeight="1" outlineLevel="3" spans="1:7">
      <c r="A217" s="30" t="s">
        <v>545</v>
      </c>
      <c r="B217" s="31"/>
      <c r="C217" s="31"/>
      <c r="D217" s="32">
        <v>146398.5</v>
      </c>
      <c r="E217" s="32">
        <v>146398.5</v>
      </c>
      <c r="F217" s="31"/>
      <c r="G217" s="31"/>
    </row>
    <row r="218" s="11" customFormat="1" ht="37" customHeight="1" outlineLevel="3" spans="1:7">
      <c r="A218" s="30" t="s">
        <v>546</v>
      </c>
      <c r="B218" s="31"/>
      <c r="C218" s="31"/>
      <c r="D218" s="32">
        <v>47315.4</v>
      </c>
      <c r="E218" s="32">
        <v>47315.4</v>
      </c>
      <c r="F218" s="31"/>
      <c r="G218" s="31"/>
    </row>
    <row r="219" s="11" customFormat="1" ht="37" customHeight="1" outlineLevel="3" spans="1:7">
      <c r="A219" s="30" t="s">
        <v>547</v>
      </c>
      <c r="B219" s="31"/>
      <c r="C219" s="31"/>
      <c r="D219" s="32">
        <v>47315.4</v>
      </c>
      <c r="E219" s="32">
        <v>47315.4</v>
      </c>
      <c r="F219" s="31"/>
      <c r="G219" s="31"/>
    </row>
    <row r="220" s="11" customFormat="1" ht="37" customHeight="1" outlineLevel="3" spans="1:7">
      <c r="A220" s="30" t="s">
        <v>548</v>
      </c>
      <c r="B220" s="31"/>
      <c r="C220" s="31"/>
      <c r="D220" s="32">
        <v>47315.4</v>
      </c>
      <c r="E220" s="32">
        <v>47315.4</v>
      </c>
      <c r="F220" s="31"/>
      <c r="G220" s="31"/>
    </row>
    <row r="221" s="11" customFormat="1" ht="37" customHeight="1" outlineLevel="3" spans="1:7">
      <c r="A221" s="30" t="s">
        <v>549</v>
      </c>
      <c r="B221" s="31"/>
      <c r="C221" s="31"/>
      <c r="D221" s="32">
        <v>47315.4</v>
      </c>
      <c r="E221" s="32">
        <v>47315.4</v>
      </c>
      <c r="F221" s="31"/>
      <c r="G221" s="31"/>
    </row>
    <row r="222" s="11" customFormat="1" ht="37" customHeight="1" outlineLevel="3" spans="1:7">
      <c r="A222" s="30" t="s">
        <v>550</v>
      </c>
      <c r="B222" s="31"/>
      <c r="C222" s="31"/>
      <c r="D222" s="32">
        <v>128895.25</v>
      </c>
      <c r="E222" s="32">
        <v>128895.25</v>
      </c>
      <c r="F222" s="31"/>
      <c r="G222" s="31"/>
    </row>
    <row r="223" s="11" customFormat="1" ht="37" customHeight="1" outlineLevel="3" spans="1:7">
      <c r="A223" s="30" t="s">
        <v>551</v>
      </c>
      <c r="B223" s="31"/>
      <c r="C223" s="31"/>
      <c r="D223" s="32">
        <v>47315.4</v>
      </c>
      <c r="E223" s="32">
        <v>47315.4</v>
      </c>
      <c r="F223" s="31"/>
      <c r="G223" s="31"/>
    </row>
    <row r="224" s="11" customFormat="1" ht="37" customHeight="1" outlineLevel="3" spans="1:7">
      <c r="A224" s="30" t="s">
        <v>552</v>
      </c>
      <c r="B224" s="31"/>
      <c r="C224" s="31"/>
      <c r="D224" s="32">
        <v>47315.4</v>
      </c>
      <c r="E224" s="32">
        <v>47315.4</v>
      </c>
      <c r="F224" s="31"/>
      <c r="G224" s="31"/>
    </row>
    <row r="225" s="11" customFormat="1" ht="37" customHeight="1" outlineLevel="3" spans="1:7">
      <c r="A225" s="30" t="s">
        <v>553</v>
      </c>
      <c r="B225" s="31"/>
      <c r="C225" s="31"/>
      <c r="D225" s="32">
        <v>130132</v>
      </c>
      <c r="E225" s="32">
        <v>130132</v>
      </c>
      <c r="F225" s="31"/>
      <c r="G225" s="31"/>
    </row>
    <row r="226" s="11" customFormat="1" ht="37" customHeight="1" outlineLevel="3" spans="1:7">
      <c r="A226" s="30" t="s">
        <v>554</v>
      </c>
      <c r="B226" s="31"/>
      <c r="C226" s="31"/>
      <c r="D226" s="32">
        <v>129884.65</v>
      </c>
      <c r="E226" s="32">
        <v>129884.65</v>
      </c>
      <c r="F226" s="31"/>
      <c r="G226" s="31"/>
    </row>
    <row r="227" s="11" customFormat="1" ht="37" customHeight="1" outlineLevel="3" spans="1:7">
      <c r="A227" s="30" t="s">
        <v>555</v>
      </c>
      <c r="B227" s="31"/>
      <c r="C227" s="31"/>
      <c r="D227" s="32">
        <v>47315.4</v>
      </c>
      <c r="E227" s="32">
        <v>47315.4</v>
      </c>
      <c r="F227" s="31"/>
      <c r="G227" s="31"/>
    </row>
    <row r="228" s="11" customFormat="1" ht="37" customHeight="1" outlineLevel="3" spans="1:7">
      <c r="A228" s="30" t="s">
        <v>556</v>
      </c>
      <c r="B228" s="31"/>
      <c r="C228" s="31"/>
      <c r="D228" s="32">
        <v>47315.4</v>
      </c>
      <c r="E228" s="32">
        <v>47315.4</v>
      </c>
      <c r="F228" s="31"/>
      <c r="G228" s="31"/>
    </row>
    <row r="229" s="11" customFormat="1" ht="37" customHeight="1" outlineLevel="3" spans="1:7">
      <c r="A229" s="30" t="s">
        <v>557</v>
      </c>
      <c r="B229" s="31"/>
      <c r="C229" s="31"/>
      <c r="D229" s="32">
        <v>157718</v>
      </c>
      <c r="E229" s="32">
        <v>157718</v>
      </c>
      <c r="F229" s="31"/>
      <c r="G229" s="31"/>
    </row>
    <row r="230" s="11" customFormat="1" ht="37" customHeight="1" outlineLevel="3" spans="1:7">
      <c r="A230" s="30" t="s">
        <v>558</v>
      </c>
      <c r="B230" s="31"/>
      <c r="C230" s="31"/>
      <c r="D230" s="32">
        <v>105732.25</v>
      </c>
      <c r="E230" s="32">
        <v>105732.25</v>
      </c>
      <c r="F230" s="31"/>
      <c r="G230" s="31"/>
    </row>
    <row r="231" s="11" customFormat="1" ht="37" customHeight="1" outlineLevel="3" spans="1:7">
      <c r="A231" s="30" t="s">
        <v>559</v>
      </c>
      <c r="B231" s="31"/>
      <c r="C231" s="31"/>
      <c r="D231" s="32">
        <v>146398.5</v>
      </c>
      <c r="E231" s="32">
        <v>146398.5</v>
      </c>
      <c r="F231" s="31"/>
      <c r="G231" s="31"/>
    </row>
    <row r="232" s="11" customFormat="1" ht="37" customHeight="1" outlineLevel="3" spans="1:7">
      <c r="A232" s="30" t="s">
        <v>560</v>
      </c>
      <c r="B232" s="31"/>
      <c r="C232" s="31"/>
      <c r="D232" s="32">
        <v>47315.4</v>
      </c>
      <c r="E232" s="32">
        <v>47315.4</v>
      </c>
      <c r="F232" s="31"/>
      <c r="G232" s="31"/>
    </row>
    <row r="233" s="11" customFormat="1" ht="37" customHeight="1" outlineLevel="3" spans="1:7">
      <c r="A233" s="30" t="s">
        <v>561</v>
      </c>
      <c r="B233" s="31"/>
      <c r="C233" s="31"/>
      <c r="D233" s="32">
        <v>145477.21</v>
      </c>
      <c r="E233" s="32">
        <v>145477.21</v>
      </c>
      <c r="F233" s="31"/>
      <c r="G233" s="31"/>
    </row>
    <row r="234" s="11" customFormat="1" ht="37" customHeight="1" outlineLevel="3" spans="1:7">
      <c r="A234" s="30" t="s">
        <v>562</v>
      </c>
      <c r="B234" s="31"/>
      <c r="C234" s="31"/>
      <c r="D234" s="32">
        <v>111392</v>
      </c>
      <c r="E234" s="32">
        <v>111392</v>
      </c>
      <c r="F234" s="31"/>
      <c r="G234" s="31"/>
    </row>
    <row r="235" s="11" customFormat="1" ht="37" customHeight="1" outlineLevel="3" spans="1:7">
      <c r="A235" s="30" t="s">
        <v>563</v>
      </c>
      <c r="B235" s="31"/>
      <c r="C235" s="31"/>
      <c r="D235" s="32">
        <v>47315.4</v>
      </c>
      <c r="E235" s="32">
        <v>47315.4</v>
      </c>
      <c r="F235" s="31"/>
      <c r="G235" s="31"/>
    </row>
    <row r="236" s="11" customFormat="1" ht="37" customHeight="1" outlineLevel="3" spans="1:7">
      <c r="A236" s="30" t="s">
        <v>564</v>
      </c>
      <c r="B236" s="31"/>
      <c r="C236" s="31"/>
      <c r="D236" s="32">
        <v>157718</v>
      </c>
      <c r="E236" s="32">
        <v>157718</v>
      </c>
      <c r="F236" s="31"/>
      <c r="G236" s="31"/>
    </row>
    <row r="237" s="11" customFormat="1" ht="37" customHeight="1" outlineLevel="3" spans="1:7">
      <c r="A237" s="30" t="s">
        <v>565</v>
      </c>
      <c r="B237" s="31"/>
      <c r="C237" s="31"/>
      <c r="D237" s="32">
        <v>128895.25</v>
      </c>
      <c r="E237" s="32">
        <v>128895.25</v>
      </c>
      <c r="F237" s="31"/>
      <c r="G237" s="31"/>
    </row>
    <row r="238" s="11" customFormat="1" ht="37" customHeight="1" outlineLevel="3" spans="1:7">
      <c r="A238" s="30" t="s">
        <v>566</v>
      </c>
      <c r="B238" s="31"/>
      <c r="C238" s="31"/>
      <c r="D238" s="32">
        <v>47315.4</v>
      </c>
      <c r="E238" s="32">
        <v>47315.4</v>
      </c>
      <c r="F238" s="31"/>
      <c r="G238" s="31"/>
    </row>
    <row r="239" s="11" customFormat="1" ht="37" customHeight="1" outlineLevel="3" spans="1:7">
      <c r="A239" s="30" t="s">
        <v>567</v>
      </c>
      <c r="B239" s="31"/>
      <c r="C239" s="31"/>
      <c r="D239" s="32">
        <v>146398.5</v>
      </c>
      <c r="E239" s="31"/>
      <c r="F239" s="32">
        <v>146398.5</v>
      </c>
      <c r="G239" s="31"/>
    </row>
    <row r="240" s="11" customFormat="1" ht="37" customHeight="1" outlineLevel="3" spans="1:7">
      <c r="A240" s="30" t="s">
        <v>568</v>
      </c>
      <c r="B240" s="31"/>
      <c r="C240" s="31"/>
      <c r="D240" s="32">
        <v>47315.4</v>
      </c>
      <c r="E240" s="32">
        <v>47315.4</v>
      </c>
      <c r="F240" s="31"/>
      <c r="G240" s="31"/>
    </row>
    <row r="241" s="11" customFormat="1" ht="37" customHeight="1" outlineLevel="3" spans="1:7">
      <c r="A241" s="30" t="s">
        <v>569</v>
      </c>
      <c r="B241" s="31"/>
      <c r="C241" s="31"/>
      <c r="D241" s="32">
        <v>47315.4</v>
      </c>
      <c r="E241" s="32">
        <v>47315.4</v>
      </c>
      <c r="F241" s="31"/>
      <c r="G241" s="31"/>
    </row>
    <row r="242" s="11" customFormat="1" ht="37" customHeight="1" outlineLevel="3" spans="1:7">
      <c r="A242" s="30" t="s">
        <v>570</v>
      </c>
      <c r="B242" s="31"/>
      <c r="C242" s="31"/>
      <c r="D242" s="32">
        <v>47315.4</v>
      </c>
      <c r="E242" s="32">
        <v>47315.4</v>
      </c>
      <c r="F242" s="31"/>
      <c r="G242" s="31"/>
    </row>
    <row r="243" s="11" customFormat="1" ht="37" customHeight="1" outlineLevel="3" spans="1:7">
      <c r="A243" s="30" t="s">
        <v>571</v>
      </c>
      <c r="B243" s="31"/>
      <c r="C243" s="31"/>
      <c r="D243" s="32">
        <v>157718</v>
      </c>
      <c r="E243" s="31"/>
      <c r="F243" s="32">
        <v>157718</v>
      </c>
      <c r="G243" s="31"/>
    </row>
    <row r="244" s="11" customFormat="1" ht="37" customHeight="1" outlineLevel="3" spans="1:7">
      <c r="A244" s="30" t="s">
        <v>572</v>
      </c>
      <c r="B244" s="31"/>
      <c r="C244" s="31"/>
      <c r="D244" s="32">
        <v>47315.4</v>
      </c>
      <c r="E244" s="32">
        <v>47315.4</v>
      </c>
      <c r="F244" s="31"/>
      <c r="G244" s="31"/>
    </row>
    <row r="245" s="11" customFormat="1" ht="37" customHeight="1" outlineLevel="3" spans="1:7">
      <c r="A245" s="30" t="s">
        <v>573</v>
      </c>
      <c r="B245" s="31"/>
      <c r="C245" s="31"/>
      <c r="D245" s="32">
        <v>47315.4</v>
      </c>
      <c r="E245" s="32">
        <v>47315.4</v>
      </c>
      <c r="F245" s="31"/>
      <c r="G245" s="31"/>
    </row>
    <row r="246" s="11" customFormat="1" ht="37" customHeight="1" outlineLevel="3" spans="1:7">
      <c r="A246" s="30" t="s">
        <v>574</v>
      </c>
      <c r="B246" s="31"/>
      <c r="C246" s="31"/>
      <c r="D246" s="32">
        <v>47315.4</v>
      </c>
      <c r="E246" s="32">
        <v>47315.4</v>
      </c>
      <c r="F246" s="31"/>
      <c r="G246" s="31"/>
    </row>
    <row r="247" s="11" customFormat="1" ht="37" customHeight="1" outlineLevel="3" spans="1:7">
      <c r="A247" s="30" t="s">
        <v>575</v>
      </c>
      <c r="B247" s="31"/>
      <c r="C247" s="31"/>
      <c r="D247" s="32">
        <v>47315.4</v>
      </c>
      <c r="E247" s="32">
        <v>47315.4</v>
      </c>
      <c r="F247" s="31"/>
      <c r="G247" s="31"/>
    </row>
    <row r="248" s="11" customFormat="1" ht="37" customHeight="1" outlineLevel="3" spans="1:7">
      <c r="A248" s="30" t="s">
        <v>576</v>
      </c>
      <c r="B248" s="31"/>
      <c r="C248" s="31"/>
      <c r="D248" s="32">
        <v>47315.4</v>
      </c>
      <c r="E248" s="32">
        <v>47315.4</v>
      </c>
      <c r="F248" s="31"/>
      <c r="G248" s="31"/>
    </row>
    <row r="249" s="11" customFormat="1" ht="37" customHeight="1" outlineLevel="3" spans="1:7">
      <c r="A249" s="30" t="s">
        <v>577</v>
      </c>
      <c r="B249" s="31"/>
      <c r="C249" s="31"/>
      <c r="D249" s="32">
        <v>130132</v>
      </c>
      <c r="E249" s="31"/>
      <c r="F249" s="32">
        <v>130132</v>
      </c>
      <c r="G249" s="31"/>
    </row>
    <row r="250" s="11" customFormat="1" ht="37" customHeight="1" outlineLevel="3" spans="1:7">
      <c r="A250" s="30" t="s">
        <v>578</v>
      </c>
      <c r="B250" s="31"/>
      <c r="C250" s="31"/>
      <c r="D250" s="32">
        <v>130132</v>
      </c>
      <c r="E250" s="31"/>
      <c r="F250" s="32">
        <v>130132</v>
      </c>
      <c r="G250" s="31"/>
    </row>
    <row r="251" s="11" customFormat="1" ht="37" customHeight="1" outlineLevel="3" spans="1:7">
      <c r="A251" s="30" t="s">
        <v>579</v>
      </c>
      <c r="B251" s="31"/>
      <c r="C251" s="31"/>
      <c r="D251" s="32">
        <v>89465.75</v>
      </c>
      <c r="E251" s="31"/>
      <c r="F251" s="32">
        <v>89465.75</v>
      </c>
      <c r="G251" s="31"/>
    </row>
    <row r="252" s="11" customFormat="1" ht="37" customHeight="1" outlineLevel="3" spans="1:7">
      <c r="A252" s="30" t="s">
        <v>580</v>
      </c>
      <c r="B252" s="31"/>
      <c r="C252" s="31"/>
      <c r="D252" s="32">
        <v>61155</v>
      </c>
      <c r="E252" s="32">
        <v>61155</v>
      </c>
      <c r="F252" s="31"/>
      <c r="G252" s="31"/>
    </row>
    <row r="253" s="11" customFormat="1" ht="37" customHeight="1" outlineLevel="3" spans="1:7">
      <c r="A253" s="30" t="s">
        <v>581</v>
      </c>
      <c r="B253" s="31"/>
      <c r="C253" s="31"/>
      <c r="D253" s="32">
        <v>146398.5</v>
      </c>
      <c r="E253" s="31"/>
      <c r="F253" s="32">
        <v>146398.5</v>
      </c>
      <c r="G253" s="31"/>
    </row>
    <row r="254" s="11" customFormat="1" ht="37" customHeight="1" outlineLevel="3" spans="1:7">
      <c r="A254" s="30" t="s">
        <v>582</v>
      </c>
      <c r="B254" s="31"/>
      <c r="C254" s="31"/>
      <c r="D254" s="32">
        <v>146398.5</v>
      </c>
      <c r="E254" s="31"/>
      <c r="F254" s="32">
        <v>146398.5</v>
      </c>
      <c r="G254" s="31"/>
    </row>
    <row r="255" s="11" customFormat="1" ht="37" customHeight="1" outlineLevel="3" spans="1:7">
      <c r="A255" s="30" t="s">
        <v>583</v>
      </c>
      <c r="B255" s="31"/>
      <c r="C255" s="31"/>
      <c r="D255" s="32">
        <v>31680.92</v>
      </c>
      <c r="E255" s="32">
        <v>31680.92</v>
      </c>
      <c r="F255" s="31"/>
      <c r="G255" s="31"/>
    </row>
    <row r="256" s="11" customFormat="1" ht="37" customHeight="1" outlineLevel="3" spans="1:7">
      <c r="A256" s="30" t="s">
        <v>584</v>
      </c>
      <c r="B256" s="31"/>
      <c r="C256" s="31"/>
      <c r="D256" s="32">
        <v>47315.4</v>
      </c>
      <c r="E256" s="32">
        <v>47315.4</v>
      </c>
      <c r="F256" s="31"/>
      <c r="G256" s="31"/>
    </row>
    <row r="257" s="11" customFormat="1" ht="37" customHeight="1" outlineLevel="3" spans="1:7">
      <c r="A257" s="30" t="s">
        <v>585</v>
      </c>
      <c r="B257" s="31"/>
      <c r="C257" s="31"/>
      <c r="D257" s="32">
        <v>47315.4</v>
      </c>
      <c r="E257" s="32">
        <v>47315.4</v>
      </c>
      <c r="F257" s="31"/>
      <c r="G257" s="31"/>
    </row>
    <row r="258" s="11" customFormat="1" ht="37" customHeight="1" outlineLevel="3" spans="1:7">
      <c r="A258" s="30" t="s">
        <v>586</v>
      </c>
      <c r="B258" s="31"/>
      <c r="C258" s="31"/>
      <c r="D258" s="32">
        <v>47315.4</v>
      </c>
      <c r="E258" s="32">
        <v>47315.4</v>
      </c>
      <c r="F258" s="31"/>
      <c r="G258" s="31"/>
    </row>
    <row r="259" s="11" customFormat="1" ht="37" customHeight="1" outlineLevel="3" spans="1:7">
      <c r="A259" s="30" t="s">
        <v>587</v>
      </c>
      <c r="B259" s="31"/>
      <c r="C259" s="31"/>
      <c r="D259" s="32">
        <v>157718</v>
      </c>
      <c r="E259" s="31"/>
      <c r="F259" s="32">
        <v>157718</v>
      </c>
      <c r="G259" s="31"/>
    </row>
    <row r="260" s="11" customFormat="1" ht="37" customHeight="1" outlineLevel="3" spans="1:7">
      <c r="A260" s="30" t="s">
        <v>588</v>
      </c>
      <c r="B260" s="31"/>
      <c r="C260" s="31"/>
      <c r="D260" s="32">
        <v>157718</v>
      </c>
      <c r="E260" s="31"/>
      <c r="F260" s="32">
        <v>157718</v>
      </c>
      <c r="G260" s="31"/>
    </row>
    <row r="261" s="11" customFormat="1" ht="37" customHeight="1" outlineLevel="3" spans="1:7">
      <c r="A261" s="30" t="s">
        <v>589</v>
      </c>
      <c r="B261" s="31"/>
      <c r="C261" s="31"/>
      <c r="D261" s="32">
        <v>157718</v>
      </c>
      <c r="E261" s="31"/>
      <c r="F261" s="32">
        <v>157718</v>
      </c>
      <c r="G261" s="31"/>
    </row>
    <row r="262" s="11" customFormat="1" ht="37" customHeight="1" outlineLevel="3" spans="1:7">
      <c r="A262" s="30" t="s">
        <v>590</v>
      </c>
      <c r="B262" s="31"/>
      <c r="C262" s="31"/>
      <c r="D262" s="32">
        <v>130132</v>
      </c>
      <c r="E262" s="31"/>
      <c r="F262" s="32">
        <v>130132</v>
      </c>
      <c r="G262" s="31"/>
    </row>
    <row r="263" s="11" customFormat="1" ht="37" customHeight="1" outlineLevel="3" spans="1:7">
      <c r="A263" s="30" t="s">
        <v>591</v>
      </c>
      <c r="B263" s="31"/>
      <c r="C263" s="31"/>
      <c r="D263" s="32">
        <v>129884.65</v>
      </c>
      <c r="E263" s="31"/>
      <c r="F263" s="32">
        <v>129884.65</v>
      </c>
      <c r="G263" s="31"/>
    </row>
    <row r="264" s="11" customFormat="1" ht="37" customHeight="1" outlineLevel="3" spans="1:7">
      <c r="A264" s="30" t="s">
        <v>592</v>
      </c>
      <c r="B264" s="31"/>
      <c r="C264" s="31"/>
      <c r="D264" s="32">
        <v>126174.4</v>
      </c>
      <c r="E264" s="31"/>
      <c r="F264" s="32">
        <v>126174.4</v>
      </c>
      <c r="G264" s="31"/>
    </row>
    <row r="265" s="11" customFormat="1" ht="37" customHeight="1" outlineLevel="3" spans="1:7">
      <c r="A265" s="30" t="s">
        <v>593</v>
      </c>
      <c r="B265" s="31"/>
      <c r="C265" s="31"/>
      <c r="D265" s="32">
        <v>47315.4</v>
      </c>
      <c r="E265" s="32">
        <v>47315.4</v>
      </c>
      <c r="F265" s="31"/>
      <c r="G265" s="31"/>
    </row>
    <row r="266" s="11" customFormat="1" ht="37" customHeight="1" outlineLevel="3" spans="1:7">
      <c r="A266" s="30" t="s">
        <v>594</v>
      </c>
      <c r="B266" s="31"/>
      <c r="C266" s="31"/>
      <c r="D266" s="32">
        <v>97599</v>
      </c>
      <c r="E266" s="31"/>
      <c r="F266" s="32">
        <v>97599</v>
      </c>
      <c r="G266" s="31"/>
    </row>
    <row r="267" s="11" customFormat="1" ht="37" customHeight="1" outlineLevel="3" spans="1:7">
      <c r="A267" s="30" t="s">
        <v>595</v>
      </c>
      <c r="B267" s="31"/>
      <c r="C267" s="31"/>
      <c r="D267" s="32">
        <v>47315.4</v>
      </c>
      <c r="E267" s="32">
        <v>47315.4</v>
      </c>
      <c r="F267" s="31"/>
      <c r="G267" s="31"/>
    </row>
    <row r="268" s="11" customFormat="1" ht="37" customHeight="1" outlineLevel="3" spans="1:7">
      <c r="A268" s="30" t="s">
        <v>596</v>
      </c>
      <c r="B268" s="31"/>
      <c r="C268" s="31"/>
      <c r="D268" s="32">
        <v>127163.8</v>
      </c>
      <c r="E268" s="31"/>
      <c r="F268" s="32">
        <v>127163.8</v>
      </c>
      <c r="G268" s="31"/>
    </row>
    <row r="269" s="11" customFormat="1" ht="37" customHeight="1" outlineLevel="3" spans="1:7">
      <c r="A269" s="30" t="s">
        <v>597</v>
      </c>
      <c r="B269" s="31"/>
      <c r="C269" s="31"/>
      <c r="D269" s="32">
        <v>157718</v>
      </c>
      <c r="E269" s="31"/>
      <c r="F269" s="32">
        <v>157718</v>
      </c>
      <c r="G269" s="31"/>
    </row>
    <row r="270" s="11" customFormat="1" ht="37" customHeight="1" outlineLevel="3" spans="1:7">
      <c r="A270" s="30" t="s">
        <v>598</v>
      </c>
      <c r="B270" s="31"/>
      <c r="C270" s="31"/>
      <c r="D270" s="32">
        <v>157718</v>
      </c>
      <c r="E270" s="32">
        <v>157718</v>
      </c>
      <c r="F270" s="31"/>
      <c r="G270" s="31"/>
    </row>
    <row r="271" s="11" customFormat="1" ht="37" customHeight="1" outlineLevel="3" spans="1:7">
      <c r="A271" s="30" t="s">
        <v>599</v>
      </c>
      <c r="B271" s="31"/>
      <c r="C271" s="31"/>
      <c r="D271" s="32">
        <v>130132</v>
      </c>
      <c r="E271" s="31"/>
      <c r="F271" s="32">
        <v>130132</v>
      </c>
      <c r="G271" s="31"/>
    </row>
    <row r="272" s="11" customFormat="1" ht="37" customHeight="1" outlineLevel="3" spans="1:7">
      <c r="A272" s="30" t="s">
        <v>600</v>
      </c>
      <c r="B272" s="31"/>
      <c r="C272" s="31"/>
      <c r="D272" s="32">
        <v>157718</v>
      </c>
      <c r="E272" s="31"/>
      <c r="F272" s="32">
        <v>157718</v>
      </c>
      <c r="G272" s="31"/>
    </row>
    <row r="273" s="11" customFormat="1" ht="37" customHeight="1" outlineLevel="3" spans="1:7">
      <c r="A273" s="30" t="s">
        <v>601</v>
      </c>
      <c r="B273" s="31"/>
      <c r="C273" s="31"/>
      <c r="D273" s="32">
        <v>47315.4</v>
      </c>
      <c r="E273" s="32">
        <v>47315.4</v>
      </c>
      <c r="F273" s="31"/>
      <c r="G273" s="31"/>
    </row>
    <row r="274" s="11" customFormat="1" ht="37" customHeight="1" outlineLevel="3" spans="1:7">
      <c r="A274" s="30" t="s">
        <v>602</v>
      </c>
      <c r="B274" s="31"/>
      <c r="C274" s="31"/>
      <c r="D274" s="32">
        <v>47315.4</v>
      </c>
      <c r="E274" s="32">
        <v>47315.4</v>
      </c>
      <c r="F274" s="31"/>
      <c r="G274" s="31"/>
    </row>
    <row r="275" s="11" customFormat="1" ht="37" customHeight="1" outlineLevel="3" spans="1:7">
      <c r="A275" s="30" t="s">
        <v>603</v>
      </c>
      <c r="B275" s="31"/>
      <c r="C275" s="31"/>
      <c r="D275" s="32">
        <v>157718</v>
      </c>
      <c r="E275" s="32">
        <v>157718</v>
      </c>
      <c r="F275" s="31"/>
      <c r="G275" s="31"/>
    </row>
    <row r="276" s="11" customFormat="1" ht="37" customHeight="1" outlineLevel="3" spans="1:7">
      <c r="A276" s="30" t="s">
        <v>604</v>
      </c>
      <c r="B276" s="31"/>
      <c r="C276" s="31"/>
      <c r="D276" s="32">
        <v>47315.4</v>
      </c>
      <c r="E276" s="32">
        <v>47315.4</v>
      </c>
      <c r="F276" s="31"/>
      <c r="G276" s="31"/>
    </row>
    <row r="277" s="11" customFormat="1" ht="37" customHeight="1" outlineLevel="3" spans="1:7">
      <c r="A277" s="30" t="s">
        <v>605</v>
      </c>
      <c r="B277" s="31"/>
      <c r="C277" s="31"/>
      <c r="D277" s="32">
        <v>47315.4</v>
      </c>
      <c r="E277" s="32">
        <v>47315.4</v>
      </c>
      <c r="F277" s="31"/>
      <c r="G277" s="31"/>
    </row>
    <row r="278" s="11" customFormat="1" ht="37" customHeight="1" outlineLevel="3" spans="1:7">
      <c r="A278" s="30" t="s">
        <v>606</v>
      </c>
      <c r="B278" s="31"/>
      <c r="C278" s="31"/>
      <c r="D278" s="32">
        <v>113865.5</v>
      </c>
      <c r="E278" s="32">
        <v>113865.5</v>
      </c>
      <c r="F278" s="31"/>
      <c r="G278" s="31"/>
    </row>
    <row r="279" s="11" customFormat="1" ht="37" customHeight="1" outlineLevel="3" spans="1:7">
      <c r="A279" s="30" t="s">
        <v>607</v>
      </c>
      <c r="B279" s="31"/>
      <c r="C279" s="31"/>
      <c r="D279" s="32">
        <v>128153.2</v>
      </c>
      <c r="E279" s="31"/>
      <c r="F279" s="32">
        <v>128153.2</v>
      </c>
      <c r="G279" s="31"/>
    </row>
    <row r="280" s="11" customFormat="1" ht="37" customHeight="1" outlineLevel="3" spans="1:7">
      <c r="A280" s="30" t="s">
        <v>608</v>
      </c>
      <c r="B280" s="31"/>
      <c r="C280" s="31"/>
      <c r="D280" s="32">
        <v>126723.68</v>
      </c>
      <c r="E280" s="31"/>
      <c r="F280" s="32">
        <v>126723.68</v>
      </c>
      <c r="G280" s="31"/>
    </row>
    <row r="281" s="11" customFormat="1" ht="37" customHeight="1" outlineLevel="3" spans="1:7">
      <c r="A281" s="30" t="s">
        <v>609</v>
      </c>
      <c r="B281" s="31"/>
      <c r="C281" s="31"/>
      <c r="D281" s="32">
        <v>126723.68</v>
      </c>
      <c r="E281" s="31"/>
      <c r="F281" s="32">
        <v>126723.68</v>
      </c>
      <c r="G281" s="31"/>
    </row>
    <row r="282" s="11" customFormat="1" ht="37" customHeight="1" outlineLevel="3" spans="1:7">
      <c r="A282" s="30" t="s">
        <v>610</v>
      </c>
      <c r="B282" s="31"/>
      <c r="C282" s="31"/>
      <c r="D282" s="32">
        <v>126723.68</v>
      </c>
      <c r="E282" s="31"/>
      <c r="F282" s="32">
        <v>126723.68</v>
      </c>
      <c r="G282" s="31"/>
    </row>
    <row r="283" s="11" customFormat="1" ht="37" customHeight="1" outlineLevel="3" spans="1:7">
      <c r="A283" s="30" t="s">
        <v>611</v>
      </c>
      <c r="B283" s="31"/>
      <c r="C283" s="31"/>
      <c r="D283" s="32">
        <v>94630.8</v>
      </c>
      <c r="E283" s="31"/>
      <c r="F283" s="32">
        <v>94630.8</v>
      </c>
      <c r="G283" s="31"/>
    </row>
    <row r="284" s="11" customFormat="1" ht="37" customHeight="1" outlineLevel="3" spans="1:7">
      <c r="A284" s="30" t="s">
        <v>612</v>
      </c>
      <c r="B284" s="31"/>
      <c r="C284" s="31"/>
      <c r="D284" s="32">
        <v>63087.2</v>
      </c>
      <c r="E284" s="32">
        <v>63087.2</v>
      </c>
      <c r="F284" s="31"/>
      <c r="G284" s="31"/>
    </row>
    <row r="285" s="11" customFormat="1" ht="37" customHeight="1" outlineLevel="3" spans="1:7">
      <c r="A285" s="30" t="s">
        <v>613</v>
      </c>
      <c r="B285" s="31"/>
      <c r="C285" s="31"/>
      <c r="D285" s="32">
        <v>126174.4</v>
      </c>
      <c r="E285" s="32">
        <v>126174.4</v>
      </c>
      <c r="F285" s="31"/>
      <c r="G285" s="31"/>
    </row>
    <row r="286" s="11" customFormat="1" ht="37" customHeight="1" outlineLevel="3" spans="1:7">
      <c r="A286" s="30" t="s">
        <v>614</v>
      </c>
      <c r="B286" s="31"/>
      <c r="C286" s="31"/>
      <c r="D286" s="32">
        <v>130132</v>
      </c>
      <c r="E286" s="31"/>
      <c r="F286" s="32">
        <v>130132</v>
      </c>
      <c r="G286" s="31"/>
    </row>
    <row r="287" s="11" customFormat="1" ht="37" customHeight="1" outlineLevel="3" spans="1:7">
      <c r="A287" s="30" t="s">
        <v>615</v>
      </c>
      <c r="B287" s="31"/>
      <c r="C287" s="31"/>
      <c r="D287" s="32">
        <v>47315.4</v>
      </c>
      <c r="E287" s="32">
        <v>47315.4</v>
      </c>
      <c r="F287" s="31"/>
      <c r="G287" s="31"/>
    </row>
    <row r="288" s="11" customFormat="1" ht="37" customHeight="1" outlineLevel="3" spans="1:7">
      <c r="A288" s="30" t="s">
        <v>616</v>
      </c>
      <c r="B288" s="31"/>
      <c r="C288" s="31"/>
      <c r="D288" s="32">
        <v>47315.4</v>
      </c>
      <c r="E288" s="32">
        <v>47315.4</v>
      </c>
      <c r="F288" s="31"/>
      <c r="G288" s="31"/>
    </row>
    <row r="289" s="11" customFormat="1" ht="37" customHeight="1" outlineLevel="3" spans="1:7">
      <c r="A289" s="30" t="s">
        <v>617</v>
      </c>
      <c r="B289" s="31"/>
      <c r="C289" s="31"/>
      <c r="D289" s="32">
        <v>47315.4</v>
      </c>
      <c r="E289" s="32">
        <v>47315.4</v>
      </c>
      <c r="F289" s="31"/>
      <c r="G289" s="31"/>
    </row>
    <row r="290" s="11" customFormat="1" ht="37" customHeight="1" outlineLevel="3" spans="1:7">
      <c r="A290" s="30" t="s">
        <v>618</v>
      </c>
      <c r="B290" s="31"/>
      <c r="C290" s="31"/>
      <c r="D290" s="32">
        <v>47315.4</v>
      </c>
      <c r="E290" s="32">
        <v>47315.4</v>
      </c>
      <c r="F290" s="31"/>
      <c r="G290" s="31"/>
    </row>
    <row r="291" s="11" customFormat="1" ht="37" customHeight="1" outlineLevel="3" spans="1:7">
      <c r="A291" s="30" t="s">
        <v>619</v>
      </c>
      <c r="B291" s="31"/>
      <c r="C291" s="31"/>
      <c r="D291" s="32">
        <v>47315.4</v>
      </c>
      <c r="E291" s="32">
        <v>47315.4</v>
      </c>
      <c r="F291" s="31"/>
      <c r="G291" s="31"/>
    </row>
    <row r="292" s="11" customFormat="1" ht="37" customHeight="1" outlineLevel="3" spans="1:7">
      <c r="A292" s="30" t="s">
        <v>620</v>
      </c>
      <c r="B292" s="31"/>
      <c r="C292" s="31"/>
      <c r="D292" s="32">
        <v>47315.4</v>
      </c>
      <c r="E292" s="32">
        <v>47315.4</v>
      </c>
      <c r="F292" s="31"/>
      <c r="G292" s="31"/>
    </row>
    <row r="293" s="11" customFormat="1" ht="37" customHeight="1" outlineLevel="3" spans="1:7">
      <c r="A293" s="30" t="s">
        <v>621</v>
      </c>
      <c r="B293" s="31"/>
      <c r="C293" s="31"/>
      <c r="D293" s="32">
        <v>130132</v>
      </c>
      <c r="E293" s="31"/>
      <c r="F293" s="32">
        <v>130132</v>
      </c>
      <c r="G293" s="31"/>
    </row>
    <row r="294" s="11" customFormat="1" ht="37" customHeight="1" outlineLevel="3" spans="1:7">
      <c r="A294" s="30" t="s">
        <v>622</v>
      </c>
      <c r="B294" s="31"/>
      <c r="C294" s="31"/>
      <c r="D294" s="32">
        <v>137316.68</v>
      </c>
      <c r="E294" s="32">
        <v>137316.68</v>
      </c>
      <c r="F294" s="31"/>
      <c r="G294" s="31"/>
    </row>
    <row r="295" s="11" customFormat="1" ht="37" customHeight="1" outlineLevel="3" spans="1:7">
      <c r="A295" s="30" t="s">
        <v>623</v>
      </c>
      <c r="B295" s="31"/>
      <c r="C295" s="31"/>
      <c r="D295" s="32">
        <v>47315.4</v>
      </c>
      <c r="E295" s="32">
        <v>47315.4</v>
      </c>
      <c r="F295" s="31"/>
      <c r="G295" s="31"/>
    </row>
    <row r="296" s="11" customFormat="1" ht="37" customHeight="1" outlineLevel="3" spans="1:7">
      <c r="A296" s="30" t="s">
        <v>624</v>
      </c>
      <c r="B296" s="31"/>
      <c r="C296" s="31"/>
      <c r="D296" s="32">
        <v>47315.4</v>
      </c>
      <c r="E296" s="32">
        <v>47315.4</v>
      </c>
      <c r="F296" s="31"/>
      <c r="G296" s="31"/>
    </row>
    <row r="297" s="11" customFormat="1" ht="37" customHeight="1" outlineLevel="3" spans="1:7">
      <c r="A297" s="30" t="s">
        <v>625</v>
      </c>
      <c r="B297" s="31"/>
      <c r="C297" s="31"/>
      <c r="D297" s="32">
        <v>126723.68</v>
      </c>
      <c r="E297" s="31"/>
      <c r="F297" s="32">
        <v>126723.68</v>
      </c>
      <c r="G297" s="31"/>
    </row>
    <row r="298" s="11" customFormat="1" ht="37" customHeight="1" outlineLevel="3" spans="1:7">
      <c r="A298" s="30" t="s">
        <v>626</v>
      </c>
      <c r="B298" s="31"/>
      <c r="C298" s="31"/>
      <c r="D298" s="32">
        <v>155536.2</v>
      </c>
      <c r="E298" s="31"/>
      <c r="F298" s="32">
        <v>155536.2</v>
      </c>
      <c r="G298" s="31"/>
    </row>
    <row r="299" s="11" customFormat="1" ht="37" customHeight="1" outlineLevel="3" spans="1:7">
      <c r="A299" s="30" t="s">
        <v>627</v>
      </c>
      <c r="B299" s="31"/>
      <c r="C299" s="31"/>
      <c r="D299" s="32">
        <v>47315.4</v>
      </c>
      <c r="E299" s="32">
        <v>47315.4</v>
      </c>
      <c r="F299" s="31"/>
      <c r="G299" s="31"/>
    </row>
    <row r="300" s="11" customFormat="1" ht="37" customHeight="1" outlineLevel="3" spans="1:7">
      <c r="A300" s="30" t="s">
        <v>628</v>
      </c>
      <c r="B300" s="31"/>
      <c r="C300" s="31"/>
      <c r="D300" s="32">
        <v>47315.4</v>
      </c>
      <c r="E300" s="32">
        <v>47315.4</v>
      </c>
      <c r="F300" s="31"/>
      <c r="G300" s="31"/>
    </row>
    <row r="301" s="11" customFormat="1" ht="37" customHeight="1" outlineLevel="3" spans="1:7">
      <c r="A301" s="30" t="s">
        <v>629</v>
      </c>
      <c r="B301" s="31"/>
      <c r="C301" s="31"/>
      <c r="D301" s="32">
        <v>31680.92</v>
      </c>
      <c r="E301" s="32">
        <v>31680.92</v>
      </c>
      <c r="F301" s="31"/>
      <c r="G301" s="31"/>
    </row>
    <row r="302" s="11" customFormat="1" ht="37" customHeight="1" outlineLevel="3" spans="1:7">
      <c r="A302" s="30" t="s">
        <v>630</v>
      </c>
      <c r="B302" s="31"/>
      <c r="C302" s="31"/>
      <c r="D302" s="32">
        <v>126723.68</v>
      </c>
      <c r="E302" s="31"/>
      <c r="F302" s="32">
        <v>126723.68</v>
      </c>
      <c r="G302" s="31"/>
    </row>
    <row r="303" s="11" customFormat="1" ht="37" customHeight="1" outlineLevel="3" spans="1:7">
      <c r="A303" s="30" t="s">
        <v>631</v>
      </c>
      <c r="B303" s="31"/>
      <c r="C303" s="31"/>
      <c r="D303" s="32">
        <v>47315.4</v>
      </c>
      <c r="E303" s="32">
        <v>47315.4</v>
      </c>
      <c r="F303" s="31"/>
      <c r="G303" s="31"/>
    </row>
    <row r="304" s="11" customFormat="1" ht="37" customHeight="1" outlineLevel="3" spans="1:7">
      <c r="A304" s="30" t="s">
        <v>632</v>
      </c>
      <c r="B304" s="31"/>
      <c r="C304" s="31"/>
      <c r="D304" s="32">
        <v>137316.68</v>
      </c>
      <c r="E304" s="31"/>
      <c r="F304" s="32">
        <v>137316.68</v>
      </c>
      <c r="G304" s="31"/>
    </row>
    <row r="305" s="11" customFormat="1" ht="37" customHeight="1" outlineLevel="3" spans="1:7">
      <c r="A305" s="30" t="s">
        <v>633</v>
      </c>
      <c r="B305" s="31"/>
      <c r="C305" s="31"/>
      <c r="D305" s="32">
        <v>33975</v>
      </c>
      <c r="E305" s="32">
        <v>33975</v>
      </c>
      <c r="F305" s="31"/>
      <c r="G305" s="31"/>
    </row>
    <row r="306" s="11" customFormat="1" ht="37" customHeight="1" outlineLevel="3" spans="1:7">
      <c r="A306" s="30" t="s">
        <v>634</v>
      </c>
      <c r="B306" s="31"/>
      <c r="C306" s="31"/>
      <c r="D306" s="32">
        <v>33975</v>
      </c>
      <c r="E306" s="32">
        <v>33975</v>
      </c>
      <c r="F306" s="31"/>
      <c r="G306" s="31"/>
    </row>
    <row r="307" s="11" customFormat="1" ht="37" customHeight="1" outlineLevel="3" spans="1:7">
      <c r="A307" s="30" t="s">
        <v>635</v>
      </c>
      <c r="B307" s="31"/>
      <c r="C307" s="31"/>
      <c r="D307" s="32">
        <v>47315.4</v>
      </c>
      <c r="E307" s="32">
        <v>47315.4</v>
      </c>
      <c r="F307" s="31"/>
      <c r="G307" s="31"/>
    </row>
    <row r="308" s="11" customFormat="1" ht="37" customHeight="1" outlineLevel="3" spans="1:7">
      <c r="A308" s="30" t="s">
        <v>636</v>
      </c>
      <c r="B308" s="31"/>
      <c r="C308" s="31"/>
      <c r="D308" s="32">
        <v>47315.4</v>
      </c>
      <c r="E308" s="32">
        <v>47315.4</v>
      </c>
      <c r="F308" s="31"/>
      <c r="G308" s="31"/>
    </row>
    <row r="309" s="11" customFormat="1" ht="37" customHeight="1" outlineLevel="3" spans="1:7">
      <c r="A309" s="30" t="s">
        <v>637</v>
      </c>
      <c r="B309" s="31"/>
      <c r="C309" s="31"/>
      <c r="D309" s="32">
        <v>129884.65</v>
      </c>
      <c r="E309" s="31"/>
      <c r="F309" s="32">
        <v>129884.65</v>
      </c>
      <c r="G309" s="31"/>
    </row>
    <row r="310" s="11" customFormat="1" ht="37" customHeight="1" outlineLevel="3" spans="1:7">
      <c r="A310" s="30" t="s">
        <v>638</v>
      </c>
      <c r="B310" s="31"/>
      <c r="C310" s="31"/>
      <c r="D310" s="32">
        <v>138081.8</v>
      </c>
      <c r="E310" s="31"/>
      <c r="F310" s="32">
        <v>138081.8</v>
      </c>
      <c r="G310" s="31"/>
    </row>
    <row r="311" s="11" customFormat="1" ht="37" customHeight="1" outlineLevel="3" spans="1:7">
      <c r="A311" s="30" t="s">
        <v>639</v>
      </c>
      <c r="B311" s="31"/>
      <c r="C311" s="31"/>
      <c r="D311" s="32">
        <v>157718</v>
      </c>
      <c r="E311" s="31"/>
      <c r="F311" s="32">
        <v>157718</v>
      </c>
      <c r="G311" s="31"/>
    </row>
    <row r="312" s="11" customFormat="1" ht="37" customHeight="1" outlineLevel="3" spans="1:7">
      <c r="A312" s="30" t="s">
        <v>640</v>
      </c>
      <c r="B312" s="31"/>
      <c r="C312" s="31"/>
      <c r="D312" s="32">
        <v>47315.4</v>
      </c>
      <c r="E312" s="32">
        <v>47315.4</v>
      </c>
      <c r="F312" s="31"/>
      <c r="G312" s="31"/>
    </row>
    <row r="313" s="11" customFormat="1" ht="37" customHeight="1" outlineLevel="3" spans="1:7">
      <c r="A313" s="30" t="s">
        <v>641</v>
      </c>
      <c r="B313" s="31"/>
      <c r="C313" s="31"/>
      <c r="D313" s="32">
        <v>41195</v>
      </c>
      <c r="E313" s="32">
        <v>41195</v>
      </c>
      <c r="F313" s="31"/>
      <c r="G313" s="31"/>
    </row>
    <row r="314" s="11" customFormat="1" ht="37" customHeight="1" outlineLevel="3" spans="1:7">
      <c r="A314" s="30" t="s">
        <v>642</v>
      </c>
      <c r="B314" s="31"/>
      <c r="C314" s="31"/>
      <c r="D314" s="32">
        <v>47315.4</v>
      </c>
      <c r="E314" s="32">
        <v>47315.4</v>
      </c>
      <c r="F314" s="31"/>
      <c r="G314" s="31"/>
    </row>
    <row r="315" s="11" customFormat="1" ht="37" customHeight="1" outlineLevel="3" spans="1:7">
      <c r="A315" s="30" t="s">
        <v>643</v>
      </c>
      <c r="B315" s="31"/>
      <c r="C315" s="31"/>
      <c r="D315" s="32">
        <v>41195</v>
      </c>
      <c r="E315" s="32">
        <v>41195</v>
      </c>
      <c r="F315" s="31"/>
      <c r="G315" s="31"/>
    </row>
    <row r="316" s="11" customFormat="1" ht="37" customHeight="1" outlineLevel="3" spans="1:7">
      <c r="A316" s="30" t="s">
        <v>644</v>
      </c>
      <c r="B316" s="31"/>
      <c r="C316" s="31"/>
      <c r="D316" s="32">
        <v>38017.1</v>
      </c>
      <c r="E316" s="32">
        <v>38017.1</v>
      </c>
      <c r="F316" s="31"/>
      <c r="G316" s="31"/>
    </row>
    <row r="317" s="11" customFormat="1" ht="37" customHeight="1" outlineLevel="3" spans="1:7">
      <c r="A317" s="30" t="s">
        <v>645</v>
      </c>
      <c r="B317" s="31"/>
      <c r="C317" s="31"/>
      <c r="D317" s="32">
        <v>41195</v>
      </c>
      <c r="E317" s="32">
        <v>41195</v>
      </c>
      <c r="F317" s="31"/>
      <c r="G317" s="31"/>
    </row>
    <row r="318" s="11" customFormat="1" ht="37" customHeight="1" outlineLevel="3" spans="1:7">
      <c r="A318" s="30" t="s">
        <v>646</v>
      </c>
      <c r="B318" s="31"/>
      <c r="C318" s="31"/>
      <c r="D318" s="32">
        <v>38017.1</v>
      </c>
      <c r="E318" s="32">
        <v>38017.1</v>
      </c>
      <c r="F318" s="31"/>
      <c r="G318" s="31"/>
    </row>
    <row r="319" s="11" customFormat="1" ht="37" customHeight="1" outlineLevel="3" spans="1:7">
      <c r="A319" s="30" t="s">
        <v>647</v>
      </c>
      <c r="B319" s="31"/>
      <c r="C319" s="31"/>
      <c r="D319" s="32">
        <v>38017.1</v>
      </c>
      <c r="E319" s="32">
        <v>38017.1</v>
      </c>
      <c r="F319" s="31"/>
      <c r="G319" s="31"/>
    </row>
    <row r="320" s="11" customFormat="1" ht="37" customHeight="1" outlineLevel="3" spans="1:7">
      <c r="A320" s="30" t="s">
        <v>648</v>
      </c>
      <c r="B320" s="31"/>
      <c r="C320" s="31"/>
      <c r="D320" s="32">
        <v>38017.1</v>
      </c>
      <c r="E320" s="32">
        <v>38017.1</v>
      </c>
      <c r="F320" s="31"/>
      <c r="G320" s="31"/>
    </row>
    <row r="321" s="11" customFormat="1" ht="37" customHeight="1" outlineLevel="3" spans="1:7">
      <c r="A321" s="30" t="s">
        <v>649</v>
      </c>
      <c r="B321" s="31"/>
      <c r="C321" s="31"/>
      <c r="D321" s="32">
        <v>38017.1</v>
      </c>
      <c r="E321" s="32">
        <v>38017.1</v>
      </c>
      <c r="F321" s="31"/>
      <c r="G321" s="31"/>
    </row>
    <row r="322" s="11" customFormat="1" ht="37" customHeight="1" outlineLevel="3" spans="1:7">
      <c r="A322" s="30" t="s">
        <v>650</v>
      </c>
      <c r="B322" s="31"/>
      <c r="C322" s="31"/>
      <c r="D322" s="32">
        <v>126723.68</v>
      </c>
      <c r="E322" s="31"/>
      <c r="F322" s="32">
        <v>126723.68</v>
      </c>
      <c r="G322" s="31"/>
    </row>
    <row r="323" s="11" customFormat="1" ht="37" customHeight="1" outlineLevel="3" spans="1:7">
      <c r="A323" s="30" t="s">
        <v>651</v>
      </c>
      <c r="B323" s="31"/>
      <c r="C323" s="31"/>
      <c r="D323" s="32">
        <v>126723.68</v>
      </c>
      <c r="E323" s="31"/>
      <c r="F323" s="32">
        <v>126723.68</v>
      </c>
      <c r="G323" s="31"/>
    </row>
    <row r="324" s="11" customFormat="1" ht="37" customHeight="1" outlineLevel="3" spans="1:7">
      <c r="A324" s="30" t="s">
        <v>652</v>
      </c>
      <c r="B324" s="31"/>
      <c r="C324" s="31"/>
      <c r="D324" s="32">
        <v>31680.92</v>
      </c>
      <c r="E324" s="32">
        <v>31680.92</v>
      </c>
      <c r="F324" s="31"/>
      <c r="G324" s="31"/>
    </row>
    <row r="325" s="11" customFormat="1" ht="37" customHeight="1" outlineLevel="3" spans="1:7">
      <c r="A325" s="30" t="s">
        <v>653</v>
      </c>
      <c r="B325" s="31"/>
      <c r="C325" s="31"/>
      <c r="D325" s="32">
        <v>124072.94</v>
      </c>
      <c r="E325" s="31"/>
      <c r="F325" s="32">
        <v>124072.94</v>
      </c>
      <c r="G325" s="31"/>
    </row>
    <row r="326" s="11" customFormat="1" ht="37" customHeight="1" outlineLevel="3" spans="1:7">
      <c r="A326" s="30" t="s">
        <v>654</v>
      </c>
      <c r="B326" s="31"/>
      <c r="C326" s="31"/>
      <c r="D326" s="32">
        <v>38017.1</v>
      </c>
      <c r="E326" s="32">
        <v>38017.1</v>
      </c>
      <c r="F326" s="31"/>
      <c r="G326" s="31"/>
    </row>
    <row r="327" s="11" customFormat="1" ht="37" customHeight="1" outlineLevel="3" spans="1:7">
      <c r="A327" s="30" t="s">
        <v>655</v>
      </c>
      <c r="B327" s="31"/>
      <c r="C327" s="31"/>
      <c r="D327" s="32">
        <v>43235.14</v>
      </c>
      <c r="E327" s="32">
        <v>43235.14</v>
      </c>
      <c r="F327" s="31"/>
      <c r="G327" s="31"/>
    </row>
    <row r="328" s="11" customFormat="1" ht="37" customHeight="1" outlineLevel="3" spans="1:7">
      <c r="A328" s="30" t="s">
        <v>656</v>
      </c>
      <c r="B328" s="31"/>
      <c r="C328" s="31"/>
      <c r="D328" s="32">
        <v>157718</v>
      </c>
      <c r="E328" s="31"/>
      <c r="F328" s="32">
        <v>157718</v>
      </c>
      <c r="G328" s="31"/>
    </row>
    <row r="329" s="11" customFormat="1" ht="37" customHeight="1" outlineLevel="3" spans="1:7">
      <c r="A329" s="30" t="s">
        <v>657</v>
      </c>
      <c r="B329" s="31"/>
      <c r="C329" s="31"/>
      <c r="D329" s="32">
        <v>135900</v>
      </c>
      <c r="E329" s="31"/>
      <c r="F329" s="32">
        <v>135900</v>
      </c>
      <c r="G329" s="31"/>
    </row>
    <row r="330" s="11" customFormat="1" ht="37" customHeight="1" outlineLevel="3" spans="1:7">
      <c r="A330" s="30" t="s">
        <v>658</v>
      </c>
      <c r="B330" s="31"/>
      <c r="C330" s="31"/>
      <c r="D330" s="32">
        <v>38017.1</v>
      </c>
      <c r="E330" s="32">
        <v>38017.1</v>
      </c>
      <c r="F330" s="31"/>
      <c r="G330" s="31"/>
    </row>
    <row r="331" s="11" customFormat="1" ht="37" customHeight="1" outlineLevel="3" spans="1:7">
      <c r="A331" s="30" t="s">
        <v>659</v>
      </c>
      <c r="B331" s="31"/>
      <c r="C331" s="31"/>
      <c r="D331" s="32">
        <v>38017.1</v>
      </c>
      <c r="E331" s="32">
        <v>38017.1</v>
      </c>
      <c r="F331" s="31"/>
      <c r="G331" s="31"/>
    </row>
    <row r="332" s="11" customFormat="1" ht="37" customHeight="1" outlineLevel="3" spans="1:7">
      <c r="A332" s="30" t="s">
        <v>660</v>
      </c>
      <c r="B332" s="31"/>
      <c r="C332" s="31"/>
      <c r="D332" s="32">
        <v>38017.1</v>
      </c>
      <c r="E332" s="32">
        <v>38017.1</v>
      </c>
      <c r="F332" s="31"/>
      <c r="G332" s="31"/>
    </row>
    <row r="333" s="11" customFormat="1" ht="37" customHeight="1" outlineLevel="3" spans="1:7">
      <c r="A333" s="30" t="s">
        <v>661</v>
      </c>
      <c r="B333" s="31"/>
      <c r="C333" s="31"/>
      <c r="D333" s="32">
        <v>41195</v>
      </c>
      <c r="E333" s="32">
        <v>41195</v>
      </c>
      <c r="F333" s="31"/>
      <c r="G333" s="31"/>
    </row>
    <row r="334" s="11" customFormat="1" ht="37" customHeight="1" outlineLevel="3" spans="1:7">
      <c r="A334" s="30" t="s">
        <v>662</v>
      </c>
      <c r="B334" s="31"/>
      <c r="C334" s="31"/>
      <c r="D334" s="32">
        <v>38017.1</v>
      </c>
      <c r="E334" s="32">
        <v>38017.1</v>
      </c>
      <c r="F334" s="31"/>
      <c r="G334" s="31"/>
    </row>
    <row r="335" s="11" customFormat="1" ht="37" customHeight="1" outlineLevel="3" spans="1:7">
      <c r="A335" s="30" t="s">
        <v>663</v>
      </c>
      <c r="B335" s="31"/>
      <c r="C335" s="31"/>
      <c r="D335" s="32">
        <v>38017.1</v>
      </c>
      <c r="E335" s="32">
        <v>38017.1</v>
      </c>
      <c r="F335" s="31"/>
      <c r="G335" s="31"/>
    </row>
    <row r="336" s="11" customFormat="1" ht="37" customHeight="1" outlineLevel="3" spans="1:7">
      <c r="A336" s="30" t="s">
        <v>664</v>
      </c>
      <c r="B336" s="31"/>
      <c r="C336" s="31"/>
      <c r="D336" s="32">
        <v>31680.92</v>
      </c>
      <c r="E336" s="32">
        <v>31680.92</v>
      </c>
      <c r="F336" s="31"/>
      <c r="G336" s="31"/>
    </row>
    <row r="337" s="11" customFormat="1" ht="37" customHeight="1" outlineLevel="3" spans="1:7">
      <c r="A337" s="30" t="s">
        <v>665</v>
      </c>
      <c r="B337" s="31"/>
      <c r="C337" s="31"/>
      <c r="D337" s="32">
        <v>38017.1</v>
      </c>
      <c r="E337" s="32">
        <v>38017.1</v>
      </c>
      <c r="F337" s="31"/>
      <c r="G337" s="31"/>
    </row>
    <row r="338" s="11" customFormat="1" ht="37" customHeight="1" outlineLevel="3" spans="1:7">
      <c r="A338" s="30" t="s">
        <v>666</v>
      </c>
      <c r="B338" s="31"/>
      <c r="C338" s="31"/>
      <c r="D338" s="32">
        <v>31680.92</v>
      </c>
      <c r="E338" s="32">
        <v>31680.92</v>
      </c>
      <c r="F338" s="31"/>
      <c r="G338" s="31"/>
    </row>
    <row r="339" s="11" customFormat="1" ht="37" customHeight="1" outlineLevel="3" spans="1:7">
      <c r="A339" s="30" t="s">
        <v>667</v>
      </c>
      <c r="B339" s="31"/>
      <c r="C339" s="31"/>
      <c r="D339" s="32">
        <v>126723.68</v>
      </c>
      <c r="E339" s="31"/>
      <c r="F339" s="32">
        <v>126723.68</v>
      </c>
      <c r="G339" s="31"/>
    </row>
    <row r="340" s="11" customFormat="1" ht="37" customHeight="1" outlineLevel="3" spans="1:7">
      <c r="A340" s="30" t="s">
        <v>668</v>
      </c>
      <c r="B340" s="31"/>
      <c r="C340" s="31"/>
      <c r="D340" s="32">
        <v>38017.1</v>
      </c>
      <c r="E340" s="32">
        <v>38017.1</v>
      </c>
      <c r="F340" s="31"/>
      <c r="G340" s="31"/>
    </row>
    <row r="341" s="11" customFormat="1" ht="37" customHeight="1" outlineLevel="3" spans="1:7">
      <c r="A341" s="30" t="s">
        <v>669</v>
      </c>
      <c r="B341" s="31"/>
      <c r="C341" s="31"/>
      <c r="D341" s="32">
        <v>38017.1</v>
      </c>
      <c r="E341" s="32">
        <v>38017.1</v>
      </c>
      <c r="F341" s="31"/>
      <c r="G341" s="31"/>
    </row>
    <row r="342" s="11" customFormat="1" ht="37" customHeight="1" outlineLevel="3" spans="1:7">
      <c r="A342" s="30" t="s">
        <v>670</v>
      </c>
      <c r="B342" s="31"/>
      <c r="C342" s="31"/>
      <c r="D342" s="32">
        <v>38017.1</v>
      </c>
      <c r="E342" s="32">
        <v>38017.1</v>
      </c>
      <c r="F342" s="31"/>
      <c r="G342" s="31"/>
    </row>
    <row r="343" s="11" customFormat="1" ht="37" customHeight="1" outlineLevel="3" spans="1:7">
      <c r="A343" s="30" t="s">
        <v>671</v>
      </c>
      <c r="B343" s="31"/>
      <c r="C343" s="31"/>
      <c r="D343" s="32">
        <v>41195</v>
      </c>
      <c r="E343" s="32">
        <v>41195</v>
      </c>
      <c r="F343" s="31"/>
      <c r="G343" s="31"/>
    </row>
    <row r="344" s="11" customFormat="1" ht="37" customHeight="1" outlineLevel="3" spans="1:7">
      <c r="A344" s="30" t="s">
        <v>672</v>
      </c>
      <c r="B344" s="31"/>
      <c r="C344" s="31"/>
      <c r="D344" s="32">
        <v>88706.58</v>
      </c>
      <c r="E344" s="31"/>
      <c r="F344" s="32">
        <v>88706.58</v>
      </c>
      <c r="G344" s="31"/>
    </row>
    <row r="345" s="11" customFormat="1" ht="37" customHeight="1" outlineLevel="3" spans="1:7">
      <c r="A345" s="30" t="s">
        <v>673</v>
      </c>
      <c r="B345" s="31"/>
      <c r="C345" s="31"/>
      <c r="D345" s="32">
        <v>126723.68</v>
      </c>
      <c r="E345" s="31"/>
      <c r="F345" s="32">
        <v>126723.68</v>
      </c>
      <c r="G345" s="31"/>
    </row>
    <row r="346" s="11" customFormat="1" ht="37" customHeight="1" outlineLevel="3" spans="1:7">
      <c r="A346" s="30" t="s">
        <v>674</v>
      </c>
      <c r="B346" s="31"/>
      <c r="C346" s="31"/>
      <c r="D346" s="32">
        <v>135900</v>
      </c>
      <c r="E346" s="31"/>
      <c r="F346" s="32">
        <v>135900</v>
      </c>
      <c r="G346" s="31"/>
    </row>
    <row r="347" s="11" customFormat="1" ht="37" customHeight="1" outlineLevel="3" spans="1:7">
      <c r="A347" s="30" t="s">
        <v>675</v>
      </c>
      <c r="B347" s="31"/>
      <c r="C347" s="31"/>
      <c r="D347" s="32">
        <v>141946.2</v>
      </c>
      <c r="E347" s="31"/>
      <c r="F347" s="32">
        <v>141946.2</v>
      </c>
      <c r="G347" s="31"/>
    </row>
    <row r="348" s="11" customFormat="1" ht="37" customHeight="1" outlineLevel="3" spans="1:7">
      <c r="A348" s="30" t="s">
        <v>676</v>
      </c>
      <c r="B348" s="31"/>
      <c r="C348" s="31"/>
      <c r="D348" s="32">
        <v>65066</v>
      </c>
      <c r="E348" s="32">
        <v>65066</v>
      </c>
      <c r="F348" s="31"/>
      <c r="G348" s="31"/>
    </row>
    <row r="349" s="11" customFormat="1" ht="37" customHeight="1" outlineLevel="3" spans="1:7">
      <c r="A349" s="30" t="s">
        <v>677</v>
      </c>
      <c r="B349" s="31"/>
      <c r="C349" s="31"/>
      <c r="D349" s="32">
        <v>38017.1</v>
      </c>
      <c r="E349" s="32">
        <v>38017.1</v>
      </c>
      <c r="F349" s="31"/>
      <c r="G349" s="31"/>
    </row>
    <row r="350" s="11" customFormat="1" ht="37" customHeight="1" outlineLevel="3" spans="1:7">
      <c r="A350" s="30" t="s">
        <v>678</v>
      </c>
      <c r="B350" s="31"/>
      <c r="C350" s="31"/>
      <c r="D350" s="32">
        <v>38017.1</v>
      </c>
      <c r="E350" s="32">
        <v>38017.1</v>
      </c>
      <c r="F350" s="31"/>
      <c r="G350" s="31"/>
    </row>
    <row r="351" s="11" customFormat="1" ht="37" customHeight="1" outlineLevel="3" spans="1:7">
      <c r="A351" s="30" t="s">
        <v>679</v>
      </c>
      <c r="B351" s="31"/>
      <c r="C351" s="31"/>
      <c r="D351" s="32">
        <v>38017.1</v>
      </c>
      <c r="E351" s="32">
        <v>38017.1</v>
      </c>
      <c r="F351" s="31"/>
      <c r="G351" s="31"/>
    </row>
    <row r="352" s="11" customFormat="1" ht="37" customHeight="1" outlineLevel="3" spans="1:7">
      <c r="A352" s="30" t="s">
        <v>680</v>
      </c>
      <c r="B352" s="31"/>
      <c r="C352" s="31"/>
      <c r="D352" s="32">
        <v>135900</v>
      </c>
      <c r="E352" s="31"/>
      <c r="F352" s="32">
        <v>135900</v>
      </c>
      <c r="G352" s="31"/>
    </row>
    <row r="353" s="11" customFormat="1" ht="37" customHeight="1" outlineLevel="3" spans="1:7">
      <c r="A353" s="30" t="s">
        <v>681</v>
      </c>
      <c r="B353" s="31"/>
      <c r="C353" s="31"/>
      <c r="D353" s="32">
        <v>101925</v>
      </c>
      <c r="E353" s="31"/>
      <c r="F353" s="32">
        <v>101925</v>
      </c>
      <c r="G353" s="31"/>
    </row>
    <row r="354" s="11" customFormat="1" ht="37" customHeight="1" outlineLevel="3" spans="1:7">
      <c r="A354" s="30" t="s">
        <v>682</v>
      </c>
      <c r="B354" s="31"/>
      <c r="C354" s="31"/>
      <c r="D354" s="32">
        <v>153068.85</v>
      </c>
      <c r="E354" s="31"/>
      <c r="F354" s="32">
        <v>153068.85</v>
      </c>
      <c r="G354" s="31"/>
    </row>
    <row r="355" s="11" customFormat="1" ht="37" customHeight="1" outlineLevel="3" spans="1:7">
      <c r="A355" s="30" t="s">
        <v>683</v>
      </c>
      <c r="B355" s="31"/>
      <c r="C355" s="31"/>
      <c r="D355" s="32">
        <v>67950</v>
      </c>
      <c r="E355" s="32">
        <v>67950</v>
      </c>
      <c r="F355" s="31"/>
      <c r="G355" s="31"/>
    </row>
    <row r="356" s="11" customFormat="1" ht="37" customHeight="1" outlineLevel="3" spans="1:7">
      <c r="A356" s="30" t="s">
        <v>684</v>
      </c>
      <c r="B356" s="31"/>
      <c r="C356" s="31"/>
      <c r="D356" s="32">
        <v>107715.13</v>
      </c>
      <c r="E356" s="31"/>
      <c r="F356" s="32">
        <v>107715.13</v>
      </c>
      <c r="G356" s="31"/>
    </row>
    <row r="357" s="11" customFormat="1" ht="37" customHeight="1" outlineLevel="3" spans="1:7">
      <c r="A357" s="30" t="s">
        <v>685</v>
      </c>
      <c r="B357" s="31"/>
      <c r="C357" s="31"/>
      <c r="D357" s="32">
        <v>63361.84</v>
      </c>
      <c r="E357" s="32">
        <v>63361.84</v>
      </c>
      <c r="F357" s="31"/>
      <c r="G357" s="31"/>
    </row>
    <row r="358" s="11" customFormat="1" ht="37" customHeight="1" outlineLevel="3" spans="1:7">
      <c r="A358" s="30" t="s">
        <v>686</v>
      </c>
      <c r="B358" s="31"/>
      <c r="C358" s="31"/>
      <c r="D358" s="32">
        <v>135900</v>
      </c>
      <c r="E358" s="31"/>
      <c r="F358" s="32">
        <v>135900</v>
      </c>
      <c r="G358" s="31"/>
    </row>
    <row r="359" s="11" customFormat="1" ht="37" customHeight="1" outlineLevel="3" spans="1:7">
      <c r="A359" s="30" t="s">
        <v>687</v>
      </c>
      <c r="B359" s="31"/>
      <c r="C359" s="31"/>
      <c r="D359" s="32">
        <v>23657.7</v>
      </c>
      <c r="E359" s="32">
        <v>23657.7</v>
      </c>
      <c r="F359" s="31"/>
      <c r="G359" s="31"/>
    </row>
    <row r="360" s="11" customFormat="1" ht="12" customHeight="1" outlineLevel="2" spans="1:7">
      <c r="A360" s="27" t="s">
        <v>348</v>
      </c>
      <c r="B360" s="28"/>
      <c r="C360" s="28"/>
      <c r="D360" s="29">
        <v>19380</v>
      </c>
      <c r="E360" s="29">
        <v>19380</v>
      </c>
      <c r="F360" s="28"/>
      <c r="G360" s="28"/>
    </row>
    <row r="361" s="11" customFormat="1" ht="37" customHeight="1" outlineLevel="3" spans="1:7">
      <c r="A361" s="30" t="s">
        <v>688</v>
      </c>
      <c r="B361" s="31"/>
      <c r="C361" s="31"/>
      <c r="D361" s="32">
        <v>13916.67</v>
      </c>
      <c r="E361" s="32">
        <v>13916.67</v>
      </c>
      <c r="F361" s="31"/>
      <c r="G361" s="31"/>
    </row>
    <row r="362" s="11" customFormat="1" ht="37" customHeight="1" outlineLevel="3" spans="1:7">
      <c r="A362" s="30" t="s">
        <v>689</v>
      </c>
      <c r="B362" s="31"/>
      <c r="C362" s="31"/>
      <c r="D362" s="32">
        <v>5463.33</v>
      </c>
      <c r="E362" s="32">
        <v>5463.33</v>
      </c>
      <c r="F362" s="31"/>
      <c r="G362" s="31"/>
    </row>
    <row r="363" s="11" customFormat="1" ht="12" customHeight="1" outlineLevel="2" spans="1:7">
      <c r="A363" s="27" t="s">
        <v>690</v>
      </c>
      <c r="B363" s="28"/>
      <c r="C363" s="28"/>
      <c r="D363" s="34">
        <v>33.33</v>
      </c>
      <c r="E363" s="34">
        <v>33.33</v>
      </c>
      <c r="F363" s="28"/>
      <c r="G363" s="28"/>
    </row>
    <row r="364" s="11" customFormat="1" ht="37" customHeight="1" outlineLevel="3" spans="1:7">
      <c r="A364" s="30" t="s">
        <v>691</v>
      </c>
      <c r="B364" s="31"/>
      <c r="C364" s="31"/>
      <c r="D364" s="33">
        <v>33.33</v>
      </c>
      <c r="E364" s="33">
        <v>33.33</v>
      </c>
      <c r="F364" s="31"/>
      <c r="G364" s="31"/>
    </row>
    <row r="365" s="11" customFormat="1" ht="12" customHeight="1" outlineLevel="2" spans="1:7">
      <c r="A365" s="27" t="s">
        <v>244</v>
      </c>
      <c r="B365" s="28"/>
      <c r="C365" s="28"/>
      <c r="D365" s="29">
        <v>45797.6</v>
      </c>
      <c r="E365" s="29">
        <v>45797.6</v>
      </c>
      <c r="F365" s="28"/>
      <c r="G365" s="28"/>
    </row>
    <row r="366" s="11" customFormat="1" ht="37" customHeight="1" outlineLevel="3" spans="1:7">
      <c r="A366" s="30" t="s">
        <v>692</v>
      </c>
      <c r="B366" s="31"/>
      <c r="C366" s="31"/>
      <c r="D366" s="32">
        <v>45797.6</v>
      </c>
      <c r="E366" s="32">
        <v>45797.6</v>
      </c>
      <c r="F366" s="31"/>
      <c r="G366" s="31"/>
    </row>
    <row r="367" s="11" customFormat="1" ht="12" customHeight="1" outlineLevel="2" spans="1:7">
      <c r="A367" s="27" t="s">
        <v>693</v>
      </c>
      <c r="B367" s="28"/>
      <c r="C367" s="28"/>
      <c r="D367" s="29">
        <v>21466.67</v>
      </c>
      <c r="E367" s="29">
        <v>21466.67</v>
      </c>
      <c r="F367" s="28"/>
      <c r="G367" s="28"/>
    </row>
    <row r="368" s="11" customFormat="1" ht="37" customHeight="1" outlineLevel="3" spans="1:7">
      <c r="A368" s="30" t="s">
        <v>694</v>
      </c>
      <c r="B368" s="31"/>
      <c r="C368" s="31"/>
      <c r="D368" s="32">
        <v>21466.67</v>
      </c>
      <c r="E368" s="32">
        <v>21466.67</v>
      </c>
      <c r="F368" s="31"/>
      <c r="G368" s="31"/>
    </row>
    <row r="369" s="11" customFormat="1" ht="12" customHeight="1" outlineLevel="2" spans="1:7">
      <c r="A369" s="27" t="s">
        <v>695</v>
      </c>
      <c r="B369" s="28"/>
      <c r="C369" s="28"/>
      <c r="D369" s="29">
        <v>335229.23</v>
      </c>
      <c r="E369" s="29">
        <v>335229.23</v>
      </c>
      <c r="F369" s="28"/>
      <c r="G369" s="28"/>
    </row>
    <row r="370" s="11" customFormat="1" ht="37" customHeight="1" outlineLevel="3" spans="1:7">
      <c r="A370" s="30" t="s">
        <v>696</v>
      </c>
      <c r="B370" s="31"/>
      <c r="C370" s="31"/>
      <c r="D370" s="32">
        <v>156486.45</v>
      </c>
      <c r="E370" s="32">
        <v>156486.45</v>
      </c>
      <c r="F370" s="31"/>
      <c r="G370" s="31"/>
    </row>
    <row r="371" s="11" customFormat="1" ht="37" customHeight="1" outlineLevel="3" spans="1:7">
      <c r="A371" s="30" t="s">
        <v>697</v>
      </c>
      <c r="B371" s="31"/>
      <c r="C371" s="31"/>
      <c r="D371" s="32">
        <v>178742.78</v>
      </c>
      <c r="E371" s="32">
        <v>178742.78</v>
      </c>
      <c r="F371" s="31"/>
      <c r="G371" s="31"/>
    </row>
    <row r="372" s="11" customFormat="1" ht="12" customHeight="1" outlineLevel="2" spans="1:7">
      <c r="A372" s="27" t="s">
        <v>698</v>
      </c>
      <c r="B372" s="28"/>
      <c r="C372" s="28"/>
      <c r="D372" s="29">
        <v>7916.67</v>
      </c>
      <c r="E372" s="29">
        <v>7916.67</v>
      </c>
      <c r="F372" s="28"/>
      <c r="G372" s="28"/>
    </row>
    <row r="373" s="11" customFormat="1" ht="37" customHeight="1" outlineLevel="3" spans="1:7">
      <c r="A373" s="30" t="s">
        <v>699</v>
      </c>
      <c r="B373" s="31"/>
      <c r="C373" s="31"/>
      <c r="D373" s="32">
        <v>7916.67</v>
      </c>
      <c r="E373" s="32">
        <v>7916.67</v>
      </c>
      <c r="F373" s="31"/>
      <c r="G373" s="31"/>
    </row>
    <row r="374" s="11" customFormat="1" ht="25" customHeight="1" outlineLevel="2" spans="1:7">
      <c r="A374" s="27" t="s">
        <v>700</v>
      </c>
      <c r="B374" s="28"/>
      <c r="C374" s="28"/>
      <c r="D374" s="29">
        <v>23434.16</v>
      </c>
      <c r="E374" s="29">
        <v>23434.16</v>
      </c>
      <c r="F374" s="28"/>
      <c r="G374" s="28"/>
    </row>
    <row r="375" s="11" customFormat="1" ht="37" customHeight="1" outlineLevel="3" spans="1:7">
      <c r="A375" s="30" t="s">
        <v>701</v>
      </c>
      <c r="B375" s="31"/>
      <c r="C375" s="31"/>
      <c r="D375" s="32">
        <v>23434.16</v>
      </c>
      <c r="E375" s="32">
        <v>23434.16</v>
      </c>
      <c r="F375" s="31"/>
      <c r="G375" s="31"/>
    </row>
    <row r="376" s="11" customFormat="1" ht="12" customHeight="1" outlineLevel="2" spans="1:7">
      <c r="A376" s="27" t="s">
        <v>702</v>
      </c>
      <c r="B376" s="28"/>
      <c r="C376" s="28"/>
      <c r="D376" s="29">
        <v>102924.99</v>
      </c>
      <c r="E376" s="29">
        <v>102924.99</v>
      </c>
      <c r="F376" s="28"/>
      <c r="G376" s="28"/>
    </row>
    <row r="377" s="11" customFormat="1" ht="37" customHeight="1" outlineLevel="3" spans="1:7">
      <c r="A377" s="30" t="s">
        <v>703</v>
      </c>
      <c r="B377" s="31"/>
      <c r="C377" s="31"/>
      <c r="D377" s="32">
        <v>12323.33</v>
      </c>
      <c r="E377" s="32">
        <v>12323.33</v>
      </c>
      <c r="F377" s="31"/>
      <c r="G377" s="31"/>
    </row>
    <row r="378" s="11" customFormat="1" ht="37" customHeight="1" outlineLevel="3" spans="1:7">
      <c r="A378" s="30" t="s">
        <v>704</v>
      </c>
      <c r="B378" s="31"/>
      <c r="C378" s="31"/>
      <c r="D378" s="32">
        <v>10640</v>
      </c>
      <c r="E378" s="32">
        <v>10640</v>
      </c>
      <c r="F378" s="31"/>
      <c r="G378" s="31"/>
    </row>
    <row r="379" s="11" customFormat="1" ht="37" customHeight="1" outlineLevel="3" spans="1:7">
      <c r="A379" s="30" t="s">
        <v>705</v>
      </c>
      <c r="B379" s="31"/>
      <c r="C379" s="31"/>
      <c r="D379" s="32">
        <v>12510</v>
      </c>
      <c r="E379" s="32">
        <v>12510</v>
      </c>
      <c r="F379" s="31"/>
      <c r="G379" s="31"/>
    </row>
    <row r="380" s="11" customFormat="1" ht="37" customHeight="1" outlineLevel="3" spans="1:7">
      <c r="A380" s="30" t="s">
        <v>706</v>
      </c>
      <c r="B380" s="31"/>
      <c r="C380" s="31"/>
      <c r="D380" s="32">
        <v>12893.33</v>
      </c>
      <c r="E380" s="32">
        <v>12893.33</v>
      </c>
      <c r="F380" s="31"/>
      <c r="G380" s="31"/>
    </row>
    <row r="381" s="11" customFormat="1" ht="37" customHeight="1" outlineLevel="3" spans="1:7">
      <c r="A381" s="30" t="s">
        <v>707</v>
      </c>
      <c r="B381" s="31"/>
      <c r="C381" s="31"/>
      <c r="D381" s="32">
        <v>13276.67</v>
      </c>
      <c r="E381" s="32">
        <v>13276.67</v>
      </c>
      <c r="F381" s="31"/>
      <c r="G381" s="31"/>
    </row>
    <row r="382" s="11" customFormat="1" ht="37" customHeight="1" outlineLevel="3" spans="1:7">
      <c r="A382" s="30" t="s">
        <v>708</v>
      </c>
      <c r="B382" s="31"/>
      <c r="C382" s="31"/>
      <c r="D382" s="32">
        <v>7213.33</v>
      </c>
      <c r="E382" s="32">
        <v>7213.33</v>
      </c>
      <c r="F382" s="31"/>
      <c r="G382" s="31"/>
    </row>
    <row r="383" s="11" customFormat="1" ht="37" customHeight="1" outlineLevel="3" spans="1:7">
      <c r="A383" s="30" t="s">
        <v>709</v>
      </c>
      <c r="B383" s="31"/>
      <c r="C383" s="31"/>
      <c r="D383" s="32">
        <v>7093.33</v>
      </c>
      <c r="E383" s="32">
        <v>7093.33</v>
      </c>
      <c r="F383" s="31"/>
      <c r="G383" s="31"/>
    </row>
    <row r="384" s="11" customFormat="1" ht="37" customHeight="1" outlineLevel="3" spans="1:7">
      <c r="A384" s="30" t="s">
        <v>710</v>
      </c>
      <c r="B384" s="31"/>
      <c r="C384" s="31"/>
      <c r="D384" s="32">
        <v>12866.67</v>
      </c>
      <c r="E384" s="32">
        <v>12866.67</v>
      </c>
      <c r="F384" s="31"/>
      <c r="G384" s="31"/>
    </row>
    <row r="385" s="11" customFormat="1" ht="37" customHeight="1" outlineLevel="3" spans="1:7">
      <c r="A385" s="30" t="s">
        <v>711</v>
      </c>
      <c r="B385" s="31"/>
      <c r="C385" s="31"/>
      <c r="D385" s="32">
        <v>7200</v>
      </c>
      <c r="E385" s="32">
        <v>7200</v>
      </c>
      <c r="F385" s="31"/>
      <c r="G385" s="31"/>
    </row>
    <row r="386" s="11" customFormat="1" ht="37" customHeight="1" outlineLevel="3" spans="1:7">
      <c r="A386" s="30" t="s">
        <v>712</v>
      </c>
      <c r="B386" s="31"/>
      <c r="C386" s="31"/>
      <c r="D386" s="32">
        <v>6908.33</v>
      </c>
      <c r="E386" s="32">
        <v>6908.33</v>
      </c>
      <c r="F386" s="31"/>
      <c r="G386" s="31"/>
    </row>
    <row r="387" s="11" customFormat="1" ht="12" customHeight="1" outlineLevel="2" spans="1:7">
      <c r="A387" s="27" t="s">
        <v>713</v>
      </c>
      <c r="B387" s="28"/>
      <c r="C387" s="28"/>
      <c r="D387" s="29">
        <v>35224.67</v>
      </c>
      <c r="E387" s="29">
        <v>35224.67</v>
      </c>
      <c r="F387" s="28"/>
      <c r="G387" s="28"/>
    </row>
    <row r="388" s="11" customFormat="1" ht="37" customHeight="1" outlineLevel="3" spans="1:7">
      <c r="A388" s="30" t="s">
        <v>714</v>
      </c>
      <c r="B388" s="31"/>
      <c r="C388" s="31"/>
      <c r="D388" s="32">
        <v>20955.34</v>
      </c>
      <c r="E388" s="32">
        <v>20955.34</v>
      </c>
      <c r="F388" s="31"/>
      <c r="G388" s="31"/>
    </row>
    <row r="389" s="11" customFormat="1" ht="37" customHeight="1" outlineLevel="3" spans="1:7">
      <c r="A389" s="30" t="s">
        <v>715</v>
      </c>
      <c r="B389" s="31"/>
      <c r="C389" s="31"/>
      <c r="D389" s="32">
        <v>1600.83</v>
      </c>
      <c r="E389" s="32">
        <v>1600.83</v>
      </c>
      <c r="F389" s="31"/>
      <c r="G389" s="31"/>
    </row>
    <row r="390" s="11" customFormat="1" ht="37" customHeight="1" outlineLevel="3" spans="1:7">
      <c r="A390" s="30" t="s">
        <v>716</v>
      </c>
      <c r="B390" s="31"/>
      <c r="C390" s="31"/>
      <c r="D390" s="32">
        <v>12668.5</v>
      </c>
      <c r="E390" s="32">
        <v>12668.5</v>
      </c>
      <c r="F390" s="31"/>
      <c r="G390" s="31"/>
    </row>
    <row r="391" s="11" customFormat="1" ht="12" customHeight="1" outlineLevel="2" spans="1:7">
      <c r="A391" s="27" t="s">
        <v>717</v>
      </c>
      <c r="B391" s="28"/>
      <c r="C391" s="28"/>
      <c r="D391" s="29">
        <v>30333.33</v>
      </c>
      <c r="E391" s="29">
        <v>30333.33</v>
      </c>
      <c r="F391" s="28"/>
      <c r="G391" s="28"/>
    </row>
    <row r="392" s="11" customFormat="1" ht="37" customHeight="1" outlineLevel="3" spans="1:7">
      <c r="A392" s="30" t="s">
        <v>718</v>
      </c>
      <c r="B392" s="31"/>
      <c r="C392" s="31"/>
      <c r="D392" s="32">
        <v>30333.33</v>
      </c>
      <c r="E392" s="32">
        <v>30333.33</v>
      </c>
      <c r="F392" s="31"/>
      <c r="G392" s="31"/>
    </row>
    <row r="393" s="11" customFormat="1" ht="12" customHeight="1" outlineLevel="2" spans="1:7">
      <c r="A393" s="27" t="s">
        <v>353</v>
      </c>
      <c r="B393" s="28"/>
      <c r="C393" s="28"/>
      <c r="D393" s="29">
        <v>87821.12</v>
      </c>
      <c r="E393" s="29">
        <v>87821.12</v>
      </c>
      <c r="F393" s="28"/>
      <c r="G393" s="28"/>
    </row>
    <row r="394" s="11" customFormat="1" ht="37" customHeight="1" outlineLevel="3" spans="1:7">
      <c r="A394" s="30" t="s">
        <v>719</v>
      </c>
      <c r="B394" s="31"/>
      <c r="C394" s="31"/>
      <c r="D394" s="33">
        <v>49.16</v>
      </c>
      <c r="E394" s="33">
        <v>49.16</v>
      </c>
      <c r="F394" s="31"/>
      <c r="G394" s="31"/>
    </row>
    <row r="395" s="11" customFormat="1" ht="37" customHeight="1" outlineLevel="3" spans="1:7">
      <c r="A395" s="30" t="s">
        <v>720</v>
      </c>
      <c r="B395" s="31"/>
      <c r="C395" s="31"/>
      <c r="D395" s="32">
        <v>3291.82</v>
      </c>
      <c r="E395" s="32">
        <v>3291.82</v>
      </c>
      <c r="F395" s="31"/>
      <c r="G395" s="31"/>
    </row>
    <row r="396" s="11" customFormat="1" ht="37" customHeight="1" outlineLevel="3" spans="1:7">
      <c r="A396" s="30" t="s">
        <v>721</v>
      </c>
      <c r="B396" s="31"/>
      <c r="C396" s="31"/>
      <c r="D396" s="32">
        <v>32088.96</v>
      </c>
      <c r="E396" s="32">
        <v>32088.96</v>
      </c>
      <c r="F396" s="31"/>
      <c r="G396" s="31"/>
    </row>
    <row r="397" s="11" customFormat="1" ht="37" customHeight="1" outlineLevel="3" spans="1:7">
      <c r="A397" s="30" t="s">
        <v>722</v>
      </c>
      <c r="B397" s="31"/>
      <c r="C397" s="31"/>
      <c r="D397" s="32">
        <v>17015.95</v>
      </c>
      <c r="E397" s="32">
        <v>17015.95</v>
      </c>
      <c r="F397" s="31"/>
      <c r="G397" s="31"/>
    </row>
    <row r="398" s="11" customFormat="1" ht="37" customHeight="1" outlineLevel="3" spans="1:7">
      <c r="A398" s="30" t="s">
        <v>723</v>
      </c>
      <c r="B398" s="31"/>
      <c r="C398" s="31"/>
      <c r="D398" s="32">
        <v>1171.18</v>
      </c>
      <c r="E398" s="32">
        <v>1171.18</v>
      </c>
      <c r="F398" s="31"/>
      <c r="G398" s="31"/>
    </row>
    <row r="399" s="11" customFormat="1" ht="37" customHeight="1" outlineLevel="3" spans="1:7">
      <c r="A399" s="30" t="s">
        <v>724</v>
      </c>
      <c r="B399" s="31"/>
      <c r="C399" s="31"/>
      <c r="D399" s="32">
        <v>1228.01</v>
      </c>
      <c r="E399" s="32">
        <v>1228.01</v>
      </c>
      <c r="F399" s="31"/>
      <c r="G399" s="31"/>
    </row>
    <row r="400" s="11" customFormat="1" ht="37" customHeight="1" outlineLevel="3" spans="1:7">
      <c r="A400" s="30" t="s">
        <v>725</v>
      </c>
      <c r="B400" s="31"/>
      <c r="C400" s="31"/>
      <c r="D400" s="32">
        <v>6175.95</v>
      </c>
      <c r="E400" s="32">
        <v>6175.95</v>
      </c>
      <c r="F400" s="31"/>
      <c r="G400" s="31"/>
    </row>
    <row r="401" s="11" customFormat="1" ht="37" customHeight="1" outlineLevel="3" spans="1:7">
      <c r="A401" s="30" t="s">
        <v>726</v>
      </c>
      <c r="B401" s="31"/>
      <c r="C401" s="31"/>
      <c r="D401" s="32">
        <v>10524.39</v>
      </c>
      <c r="E401" s="32">
        <v>10524.39</v>
      </c>
      <c r="F401" s="31"/>
      <c r="G401" s="31"/>
    </row>
    <row r="402" s="11" customFormat="1" ht="37" customHeight="1" outlineLevel="3" spans="1:7">
      <c r="A402" s="30" t="s">
        <v>727</v>
      </c>
      <c r="B402" s="31"/>
      <c r="C402" s="31"/>
      <c r="D402" s="32">
        <v>3893.24</v>
      </c>
      <c r="E402" s="32">
        <v>3893.24</v>
      </c>
      <c r="F402" s="31"/>
      <c r="G402" s="31"/>
    </row>
    <row r="403" s="11" customFormat="1" ht="37" customHeight="1" outlineLevel="3" spans="1:7">
      <c r="A403" s="30" t="s">
        <v>728</v>
      </c>
      <c r="B403" s="31"/>
      <c r="C403" s="31"/>
      <c r="D403" s="32">
        <v>2834.15</v>
      </c>
      <c r="E403" s="32">
        <v>2834.15</v>
      </c>
      <c r="F403" s="31"/>
      <c r="G403" s="31"/>
    </row>
    <row r="404" s="11" customFormat="1" ht="37" customHeight="1" outlineLevel="3" spans="1:7">
      <c r="A404" s="30" t="s">
        <v>729</v>
      </c>
      <c r="B404" s="31"/>
      <c r="C404" s="31"/>
      <c r="D404" s="33">
        <v>186.39</v>
      </c>
      <c r="E404" s="33">
        <v>186.39</v>
      </c>
      <c r="F404" s="31"/>
      <c r="G404" s="31"/>
    </row>
    <row r="405" s="11" customFormat="1" ht="37" customHeight="1" outlineLevel="3" spans="1:7">
      <c r="A405" s="30" t="s">
        <v>730</v>
      </c>
      <c r="B405" s="31"/>
      <c r="C405" s="31"/>
      <c r="D405" s="32">
        <v>9361.92</v>
      </c>
      <c r="E405" s="32">
        <v>9361.92</v>
      </c>
      <c r="F405" s="31"/>
      <c r="G405" s="31"/>
    </row>
    <row r="406" s="11" customFormat="1" ht="12" customHeight="1" outlineLevel="2" spans="1:7">
      <c r="A406" s="27" t="s">
        <v>250</v>
      </c>
      <c r="B406" s="28"/>
      <c r="C406" s="28"/>
      <c r="D406" s="29">
        <v>132086.67</v>
      </c>
      <c r="E406" s="29">
        <v>132086.67</v>
      </c>
      <c r="F406" s="28"/>
      <c r="G406" s="28"/>
    </row>
    <row r="407" s="11" customFormat="1" ht="37" customHeight="1" outlineLevel="3" spans="1:7">
      <c r="A407" s="30" t="s">
        <v>731</v>
      </c>
      <c r="B407" s="31"/>
      <c r="C407" s="31"/>
      <c r="D407" s="32">
        <v>7064.5</v>
      </c>
      <c r="E407" s="32">
        <v>7064.5</v>
      </c>
      <c r="F407" s="31"/>
      <c r="G407" s="31"/>
    </row>
    <row r="408" s="11" customFormat="1" ht="37" customHeight="1" outlineLevel="3" spans="1:7">
      <c r="A408" s="30" t="s">
        <v>732</v>
      </c>
      <c r="B408" s="31"/>
      <c r="C408" s="31"/>
      <c r="D408" s="32">
        <v>29296</v>
      </c>
      <c r="E408" s="32">
        <v>29296</v>
      </c>
      <c r="F408" s="31"/>
      <c r="G408" s="31"/>
    </row>
    <row r="409" s="11" customFormat="1" ht="37" customHeight="1" outlineLevel="3" spans="1:7">
      <c r="A409" s="30" t="s">
        <v>733</v>
      </c>
      <c r="B409" s="31"/>
      <c r="C409" s="31"/>
      <c r="D409" s="32">
        <v>7986.33</v>
      </c>
      <c r="E409" s="32">
        <v>7986.33</v>
      </c>
      <c r="F409" s="31"/>
      <c r="G409" s="31"/>
    </row>
    <row r="410" s="11" customFormat="1" ht="37" customHeight="1" outlineLevel="3" spans="1:7">
      <c r="A410" s="30" t="s">
        <v>734</v>
      </c>
      <c r="B410" s="31"/>
      <c r="C410" s="31"/>
      <c r="D410" s="33">
        <v>321.67</v>
      </c>
      <c r="E410" s="33">
        <v>321.67</v>
      </c>
      <c r="F410" s="31"/>
      <c r="G410" s="31"/>
    </row>
    <row r="411" s="11" customFormat="1" ht="37" customHeight="1" outlineLevel="3" spans="1:7">
      <c r="A411" s="30" t="s">
        <v>735</v>
      </c>
      <c r="B411" s="31"/>
      <c r="C411" s="31"/>
      <c r="D411" s="32">
        <v>62710</v>
      </c>
      <c r="E411" s="32">
        <v>62710</v>
      </c>
      <c r="F411" s="31"/>
      <c r="G411" s="31"/>
    </row>
    <row r="412" s="11" customFormat="1" ht="37" customHeight="1" outlineLevel="3" spans="1:7">
      <c r="A412" s="30" t="s">
        <v>736</v>
      </c>
      <c r="B412" s="31"/>
      <c r="C412" s="31"/>
      <c r="D412" s="32">
        <v>24708.17</v>
      </c>
      <c r="E412" s="32">
        <v>24708.17</v>
      </c>
      <c r="F412" s="31"/>
      <c r="G412" s="31"/>
    </row>
    <row r="413" s="11" customFormat="1" ht="12" customHeight="1" outlineLevel="2" spans="1:7">
      <c r="A413" s="27" t="s">
        <v>737</v>
      </c>
      <c r="B413" s="28"/>
      <c r="C413" s="28"/>
      <c r="D413" s="34">
        <v>130.73</v>
      </c>
      <c r="E413" s="34">
        <v>130.73</v>
      </c>
      <c r="F413" s="28"/>
      <c r="G413" s="28"/>
    </row>
    <row r="414" s="11" customFormat="1" ht="37" customHeight="1" outlineLevel="3" spans="1:7">
      <c r="A414" s="30" t="s">
        <v>738</v>
      </c>
      <c r="B414" s="31"/>
      <c r="C414" s="31"/>
      <c r="D414" s="33">
        <v>24.29</v>
      </c>
      <c r="E414" s="33">
        <v>24.29</v>
      </c>
      <c r="F414" s="31"/>
      <c r="G414" s="31"/>
    </row>
    <row r="415" s="11" customFormat="1" ht="37" customHeight="1" outlineLevel="3" spans="1:7">
      <c r="A415" s="30" t="s">
        <v>739</v>
      </c>
      <c r="B415" s="31"/>
      <c r="C415" s="31"/>
      <c r="D415" s="33">
        <v>33.57</v>
      </c>
      <c r="E415" s="33">
        <v>33.57</v>
      </c>
      <c r="F415" s="31"/>
      <c r="G415" s="31"/>
    </row>
    <row r="416" s="11" customFormat="1" ht="37" customHeight="1" outlineLevel="3" spans="1:7">
      <c r="A416" s="30" t="s">
        <v>740</v>
      </c>
      <c r="B416" s="31"/>
      <c r="C416" s="31"/>
      <c r="D416" s="33">
        <v>24.29</v>
      </c>
      <c r="E416" s="33">
        <v>24.29</v>
      </c>
      <c r="F416" s="31"/>
      <c r="G416" s="31"/>
    </row>
    <row r="417" s="11" customFormat="1" ht="37" customHeight="1" outlineLevel="3" spans="1:7">
      <c r="A417" s="30" t="s">
        <v>741</v>
      </c>
      <c r="B417" s="31"/>
      <c r="C417" s="31"/>
      <c r="D417" s="33">
        <v>24.29</v>
      </c>
      <c r="E417" s="33">
        <v>24.29</v>
      </c>
      <c r="F417" s="31"/>
      <c r="G417" s="31"/>
    </row>
    <row r="418" s="11" customFormat="1" ht="37" customHeight="1" outlineLevel="3" spans="1:7">
      <c r="A418" s="30" t="s">
        <v>742</v>
      </c>
      <c r="B418" s="31"/>
      <c r="C418" s="31"/>
      <c r="D418" s="33">
        <v>24.29</v>
      </c>
      <c r="E418" s="33">
        <v>24.29</v>
      </c>
      <c r="F418" s="31"/>
      <c r="G418" s="31"/>
    </row>
    <row r="419" s="11" customFormat="1" ht="12" customHeight="1" outlineLevel="2" spans="1:7">
      <c r="A419" s="27" t="s">
        <v>743</v>
      </c>
      <c r="B419" s="28"/>
      <c r="C419" s="28"/>
      <c r="D419" s="29">
        <v>44666.67</v>
      </c>
      <c r="E419" s="29">
        <v>44666.67</v>
      </c>
      <c r="F419" s="28"/>
      <c r="G419" s="28"/>
    </row>
    <row r="420" s="11" customFormat="1" ht="37" customHeight="1" outlineLevel="3" spans="1:7">
      <c r="A420" s="30" t="s">
        <v>744</v>
      </c>
      <c r="B420" s="31"/>
      <c r="C420" s="31"/>
      <c r="D420" s="32">
        <v>44666.67</v>
      </c>
      <c r="E420" s="32">
        <v>44666.67</v>
      </c>
      <c r="F420" s="31"/>
      <c r="G420" s="31"/>
    </row>
    <row r="421" s="11" customFormat="1" ht="12" customHeight="1" outlineLevel="2" spans="1:7">
      <c r="A421" s="27" t="s">
        <v>745</v>
      </c>
      <c r="B421" s="28"/>
      <c r="C421" s="28"/>
      <c r="D421" s="29">
        <v>17599.99</v>
      </c>
      <c r="E421" s="29">
        <v>17599.99</v>
      </c>
      <c r="F421" s="28"/>
      <c r="G421" s="28"/>
    </row>
    <row r="422" s="11" customFormat="1" ht="37" customHeight="1" outlineLevel="3" spans="1:7">
      <c r="A422" s="30" t="s">
        <v>746</v>
      </c>
      <c r="B422" s="31"/>
      <c r="C422" s="31"/>
      <c r="D422" s="32">
        <v>17599.99</v>
      </c>
      <c r="E422" s="32">
        <v>17599.99</v>
      </c>
      <c r="F422" s="31"/>
      <c r="G422" s="31"/>
    </row>
    <row r="423" s="11" customFormat="1" ht="12" customHeight="1" outlineLevel="2" spans="1:7">
      <c r="A423" s="27" t="s">
        <v>252</v>
      </c>
      <c r="B423" s="29">
        <v>8018.16</v>
      </c>
      <c r="C423" s="28"/>
      <c r="D423" s="29">
        <v>63053.98</v>
      </c>
      <c r="E423" s="29">
        <v>71072.14</v>
      </c>
      <c r="F423" s="28"/>
      <c r="G423" s="28"/>
    </row>
    <row r="424" s="11" customFormat="1" ht="37" customHeight="1" outlineLevel="3" spans="1:7">
      <c r="A424" s="30" t="s">
        <v>253</v>
      </c>
      <c r="B424" s="32">
        <v>5155.38</v>
      </c>
      <c r="C424" s="31"/>
      <c r="D424" s="31"/>
      <c r="E424" s="32">
        <v>5155.38</v>
      </c>
      <c r="F424" s="31"/>
      <c r="G424" s="31"/>
    </row>
    <row r="425" s="11" customFormat="1" ht="37" customHeight="1" outlineLevel="3" spans="1:7">
      <c r="A425" s="30" t="s">
        <v>254</v>
      </c>
      <c r="B425" s="32">
        <v>2862.78</v>
      </c>
      <c r="C425" s="31"/>
      <c r="D425" s="31"/>
      <c r="E425" s="32">
        <v>2862.78</v>
      </c>
      <c r="F425" s="31"/>
      <c r="G425" s="31"/>
    </row>
    <row r="426" s="11" customFormat="1" ht="37" customHeight="1" outlineLevel="3" spans="1:7">
      <c r="A426" s="30" t="s">
        <v>747</v>
      </c>
      <c r="B426" s="31"/>
      <c r="C426" s="31"/>
      <c r="D426" s="32">
        <v>22728.13</v>
      </c>
      <c r="E426" s="32">
        <v>22728.13</v>
      </c>
      <c r="F426" s="31"/>
      <c r="G426" s="31"/>
    </row>
    <row r="427" s="11" customFormat="1" ht="37" customHeight="1" outlineLevel="3" spans="1:7">
      <c r="A427" s="30" t="s">
        <v>748</v>
      </c>
      <c r="B427" s="31"/>
      <c r="C427" s="31"/>
      <c r="D427" s="32">
        <v>3342.56</v>
      </c>
      <c r="E427" s="32">
        <v>3342.56</v>
      </c>
      <c r="F427" s="31"/>
      <c r="G427" s="31"/>
    </row>
    <row r="428" s="11" customFormat="1" ht="37" customHeight="1" outlineLevel="3" spans="1:7">
      <c r="A428" s="30" t="s">
        <v>749</v>
      </c>
      <c r="B428" s="31"/>
      <c r="C428" s="31"/>
      <c r="D428" s="32">
        <v>19110.63</v>
      </c>
      <c r="E428" s="32">
        <v>19110.63</v>
      </c>
      <c r="F428" s="31"/>
      <c r="G428" s="31"/>
    </row>
    <row r="429" s="11" customFormat="1" ht="37" customHeight="1" outlineLevel="3" spans="1:7">
      <c r="A429" s="30" t="s">
        <v>750</v>
      </c>
      <c r="B429" s="31"/>
      <c r="C429" s="31"/>
      <c r="D429" s="32">
        <v>6097.14</v>
      </c>
      <c r="E429" s="32">
        <v>6097.14</v>
      </c>
      <c r="F429" s="31"/>
      <c r="G429" s="31"/>
    </row>
    <row r="430" s="11" customFormat="1" ht="37" customHeight="1" outlineLevel="3" spans="1:7">
      <c r="A430" s="30" t="s">
        <v>751</v>
      </c>
      <c r="B430" s="31"/>
      <c r="C430" s="31"/>
      <c r="D430" s="32">
        <v>11775.52</v>
      </c>
      <c r="E430" s="32">
        <v>11775.52</v>
      </c>
      <c r="F430" s="31"/>
      <c r="G430" s="31"/>
    </row>
    <row r="431" s="11" customFormat="1" ht="12" customHeight="1" outlineLevel="2" spans="1:7">
      <c r="A431" s="27" t="s">
        <v>752</v>
      </c>
      <c r="B431" s="28"/>
      <c r="C431" s="28"/>
      <c r="D431" s="29">
        <v>147198.47</v>
      </c>
      <c r="E431" s="29">
        <v>147198.47</v>
      </c>
      <c r="F431" s="28"/>
      <c r="G431" s="28"/>
    </row>
    <row r="432" s="11" customFormat="1" ht="37" customHeight="1" outlineLevel="3" spans="1:7">
      <c r="A432" s="30" t="s">
        <v>753</v>
      </c>
      <c r="B432" s="31"/>
      <c r="C432" s="31"/>
      <c r="D432" s="32">
        <v>109545.51</v>
      </c>
      <c r="E432" s="32">
        <v>109545.51</v>
      </c>
      <c r="F432" s="31"/>
      <c r="G432" s="31"/>
    </row>
    <row r="433" s="11" customFormat="1" ht="37" customHeight="1" outlineLevel="3" spans="1:7">
      <c r="A433" s="30" t="s">
        <v>754</v>
      </c>
      <c r="B433" s="31"/>
      <c r="C433" s="31"/>
      <c r="D433" s="32">
        <v>8679</v>
      </c>
      <c r="E433" s="32">
        <v>8679</v>
      </c>
      <c r="F433" s="31"/>
      <c r="G433" s="31"/>
    </row>
    <row r="434" s="11" customFormat="1" ht="37" customHeight="1" outlineLevel="3" spans="1:7">
      <c r="A434" s="30" t="s">
        <v>755</v>
      </c>
      <c r="B434" s="31"/>
      <c r="C434" s="31"/>
      <c r="D434" s="32">
        <v>5786</v>
      </c>
      <c r="E434" s="32">
        <v>5786</v>
      </c>
      <c r="F434" s="31"/>
      <c r="G434" s="31"/>
    </row>
    <row r="435" s="11" customFormat="1" ht="37" customHeight="1" outlineLevel="3" spans="1:7">
      <c r="A435" s="30" t="s">
        <v>756</v>
      </c>
      <c r="B435" s="31"/>
      <c r="C435" s="31"/>
      <c r="D435" s="32">
        <v>7981.4</v>
      </c>
      <c r="E435" s="32">
        <v>7981.4</v>
      </c>
      <c r="F435" s="31"/>
      <c r="G435" s="31"/>
    </row>
    <row r="436" s="11" customFormat="1" ht="37" customHeight="1" outlineLevel="3" spans="1:7">
      <c r="A436" s="30" t="s">
        <v>757</v>
      </c>
      <c r="B436" s="31"/>
      <c r="C436" s="31"/>
      <c r="D436" s="32">
        <v>2164.99</v>
      </c>
      <c r="E436" s="32">
        <v>2164.99</v>
      </c>
      <c r="F436" s="31"/>
      <c r="G436" s="31"/>
    </row>
    <row r="437" s="11" customFormat="1" ht="37" customHeight="1" outlineLevel="3" spans="1:7">
      <c r="A437" s="30" t="s">
        <v>758</v>
      </c>
      <c r="B437" s="31"/>
      <c r="C437" s="31"/>
      <c r="D437" s="32">
        <v>13041.57</v>
      </c>
      <c r="E437" s="32">
        <v>13041.57</v>
      </c>
      <c r="F437" s="31"/>
      <c r="G437" s="31"/>
    </row>
    <row r="438" s="11" customFormat="1" ht="12" customHeight="1" outlineLevel="2" spans="1:7">
      <c r="A438" s="27" t="s">
        <v>759</v>
      </c>
      <c r="B438" s="28"/>
      <c r="C438" s="28"/>
      <c r="D438" s="29">
        <v>2498.33</v>
      </c>
      <c r="E438" s="29">
        <v>2498.33</v>
      </c>
      <c r="F438" s="28"/>
      <c r="G438" s="28"/>
    </row>
    <row r="439" s="11" customFormat="1" ht="37" customHeight="1" outlineLevel="3" spans="1:7">
      <c r="A439" s="30" t="s">
        <v>760</v>
      </c>
      <c r="B439" s="31"/>
      <c r="C439" s="31"/>
      <c r="D439" s="32">
        <v>1250</v>
      </c>
      <c r="E439" s="32">
        <v>1250</v>
      </c>
      <c r="F439" s="31"/>
      <c r="G439" s="31"/>
    </row>
    <row r="440" s="11" customFormat="1" ht="37" customHeight="1" outlineLevel="3" spans="1:7">
      <c r="A440" s="30" t="s">
        <v>761</v>
      </c>
      <c r="B440" s="31"/>
      <c r="C440" s="31"/>
      <c r="D440" s="32">
        <v>1248.33</v>
      </c>
      <c r="E440" s="32">
        <v>1248.33</v>
      </c>
      <c r="F440" s="31"/>
      <c r="G440" s="31"/>
    </row>
    <row r="441" s="11" customFormat="1" ht="13" customHeight="1" outlineLevel="1" spans="1:7">
      <c r="A441" s="26" t="s">
        <v>255</v>
      </c>
      <c r="B441" s="24">
        <v>170903.34</v>
      </c>
      <c r="C441" s="25"/>
      <c r="D441" s="24">
        <v>8085135.74</v>
      </c>
      <c r="E441" s="24">
        <v>1956724.2</v>
      </c>
      <c r="F441" s="24">
        <v>6299314.88</v>
      </c>
      <c r="G441" s="25"/>
    </row>
    <row r="442" s="11" customFormat="1" ht="12" customHeight="1" outlineLevel="2" spans="1:7">
      <c r="A442" s="27" t="s">
        <v>762</v>
      </c>
      <c r="B442" s="28"/>
      <c r="C442" s="28"/>
      <c r="D442" s="29">
        <v>3750</v>
      </c>
      <c r="E442" s="29">
        <v>3750</v>
      </c>
      <c r="F442" s="28"/>
      <c r="G442" s="28"/>
    </row>
    <row r="443" s="11" customFormat="1" ht="37" customHeight="1" outlineLevel="3" spans="1:7">
      <c r="A443" s="30" t="s">
        <v>763</v>
      </c>
      <c r="B443" s="31"/>
      <c r="C443" s="31"/>
      <c r="D443" s="32">
        <v>3750</v>
      </c>
      <c r="E443" s="32">
        <v>3750</v>
      </c>
      <c r="F443" s="31"/>
      <c r="G443" s="31"/>
    </row>
    <row r="444" s="11" customFormat="1" ht="12" customHeight="1" outlineLevel="2" spans="1:7">
      <c r="A444" s="27" t="s">
        <v>182</v>
      </c>
      <c r="B444" s="29">
        <v>37003.34</v>
      </c>
      <c r="C444" s="28"/>
      <c r="D444" s="29">
        <v>51732.49</v>
      </c>
      <c r="E444" s="29">
        <v>88735.83</v>
      </c>
      <c r="F444" s="28"/>
      <c r="G444" s="28"/>
    </row>
    <row r="445" s="11" customFormat="1" ht="37" customHeight="1" outlineLevel="3" spans="1:7">
      <c r="A445" s="30" t="s">
        <v>256</v>
      </c>
      <c r="B445" s="32">
        <v>33103.34</v>
      </c>
      <c r="C445" s="31"/>
      <c r="D445" s="31"/>
      <c r="E445" s="32">
        <v>33103.34</v>
      </c>
      <c r="F445" s="31"/>
      <c r="G445" s="31"/>
    </row>
    <row r="446" s="11" customFormat="1" ht="37" customHeight="1" outlineLevel="3" spans="1:7">
      <c r="A446" s="30" t="s">
        <v>257</v>
      </c>
      <c r="B446" s="32">
        <v>3900</v>
      </c>
      <c r="C446" s="31"/>
      <c r="D446" s="31"/>
      <c r="E446" s="32">
        <v>3900</v>
      </c>
      <c r="F446" s="31"/>
      <c r="G446" s="31"/>
    </row>
    <row r="447" s="11" customFormat="1" ht="37" customHeight="1" outlineLevel="3" spans="1:7">
      <c r="A447" s="30" t="s">
        <v>764</v>
      </c>
      <c r="B447" s="31"/>
      <c r="C447" s="31"/>
      <c r="D447" s="32">
        <v>13380.33</v>
      </c>
      <c r="E447" s="32">
        <v>13380.33</v>
      </c>
      <c r="F447" s="31"/>
      <c r="G447" s="31"/>
    </row>
    <row r="448" s="11" customFormat="1" ht="37" customHeight="1" outlineLevel="3" spans="1:7">
      <c r="A448" s="30" t="s">
        <v>765</v>
      </c>
      <c r="B448" s="31"/>
      <c r="C448" s="31"/>
      <c r="D448" s="32">
        <v>6673.33</v>
      </c>
      <c r="E448" s="32">
        <v>6673.33</v>
      </c>
      <c r="F448" s="31"/>
      <c r="G448" s="31"/>
    </row>
    <row r="449" s="11" customFormat="1" ht="37" customHeight="1" outlineLevel="3" spans="1:7">
      <c r="A449" s="30" t="s">
        <v>766</v>
      </c>
      <c r="B449" s="31"/>
      <c r="C449" s="31"/>
      <c r="D449" s="32">
        <v>3042</v>
      </c>
      <c r="E449" s="32">
        <v>3042</v>
      </c>
      <c r="F449" s="31"/>
      <c r="G449" s="31"/>
    </row>
    <row r="450" s="11" customFormat="1" ht="37" customHeight="1" outlineLevel="3" spans="1:7">
      <c r="A450" s="30" t="s">
        <v>767</v>
      </c>
      <c r="B450" s="31"/>
      <c r="C450" s="31"/>
      <c r="D450" s="32">
        <v>3900</v>
      </c>
      <c r="E450" s="32">
        <v>3900</v>
      </c>
      <c r="F450" s="31"/>
      <c r="G450" s="31"/>
    </row>
    <row r="451" s="11" customFormat="1" ht="37" customHeight="1" outlineLevel="3" spans="1:7">
      <c r="A451" s="30" t="s">
        <v>768</v>
      </c>
      <c r="B451" s="31"/>
      <c r="C451" s="31"/>
      <c r="D451" s="32">
        <v>2028</v>
      </c>
      <c r="E451" s="32">
        <v>2028</v>
      </c>
      <c r="F451" s="31"/>
      <c r="G451" s="31"/>
    </row>
    <row r="452" s="11" customFormat="1" ht="37" customHeight="1" outlineLevel="3" spans="1:7">
      <c r="A452" s="30" t="s">
        <v>769</v>
      </c>
      <c r="B452" s="31"/>
      <c r="C452" s="31"/>
      <c r="D452" s="32">
        <v>20108.83</v>
      </c>
      <c r="E452" s="32">
        <v>20108.83</v>
      </c>
      <c r="F452" s="31"/>
      <c r="G452" s="31"/>
    </row>
    <row r="453" s="11" customFormat="1" ht="37" customHeight="1" outlineLevel="3" spans="1:7">
      <c r="A453" s="30" t="s">
        <v>770</v>
      </c>
      <c r="B453" s="31"/>
      <c r="C453" s="31"/>
      <c r="D453" s="32">
        <v>2600</v>
      </c>
      <c r="E453" s="32">
        <v>2600</v>
      </c>
      <c r="F453" s="31"/>
      <c r="G453" s="31"/>
    </row>
    <row r="454" s="11" customFormat="1" ht="12" customHeight="1" outlineLevel="2" spans="1:7">
      <c r="A454" s="27" t="s">
        <v>184</v>
      </c>
      <c r="B454" s="28"/>
      <c r="C454" s="28"/>
      <c r="D454" s="29">
        <v>2108744.55</v>
      </c>
      <c r="E454" s="29">
        <v>1321338</v>
      </c>
      <c r="F454" s="29">
        <v>787406.55</v>
      </c>
      <c r="G454" s="28"/>
    </row>
    <row r="455" s="11" customFormat="1" ht="37" customHeight="1" outlineLevel="3" spans="1:7">
      <c r="A455" s="30" t="s">
        <v>771</v>
      </c>
      <c r="B455" s="31"/>
      <c r="C455" s="31"/>
      <c r="D455" s="32">
        <v>3772.3</v>
      </c>
      <c r="E455" s="32">
        <v>3772.3</v>
      </c>
      <c r="F455" s="31"/>
      <c r="G455" s="31"/>
    </row>
    <row r="456" s="11" customFormat="1" ht="37" customHeight="1" outlineLevel="3" spans="1:7">
      <c r="A456" s="30" t="s">
        <v>772</v>
      </c>
      <c r="B456" s="31"/>
      <c r="C456" s="31"/>
      <c r="D456" s="32">
        <v>3143.58</v>
      </c>
      <c r="E456" s="32">
        <v>3143.58</v>
      </c>
      <c r="F456" s="31"/>
      <c r="G456" s="31"/>
    </row>
    <row r="457" s="11" customFormat="1" ht="37" customHeight="1" outlineLevel="3" spans="1:7">
      <c r="A457" s="30" t="s">
        <v>773</v>
      </c>
      <c r="B457" s="31"/>
      <c r="C457" s="31"/>
      <c r="D457" s="32">
        <v>3772.3</v>
      </c>
      <c r="E457" s="32">
        <v>3772.3</v>
      </c>
      <c r="F457" s="31"/>
      <c r="G457" s="31"/>
    </row>
    <row r="458" s="11" customFormat="1" ht="37" customHeight="1" outlineLevel="3" spans="1:7">
      <c r="A458" s="30" t="s">
        <v>774</v>
      </c>
      <c r="B458" s="31"/>
      <c r="C458" s="31"/>
      <c r="D458" s="32">
        <v>3143.58</v>
      </c>
      <c r="E458" s="32">
        <v>3143.58</v>
      </c>
      <c r="F458" s="31"/>
      <c r="G458" s="31"/>
    </row>
    <row r="459" s="11" customFormat="1" ht="37" customHeight="1" outlineLevel="3" spans="1:7">
      <c r="A459" s="30" t="s">
        <v>775</v>
      </c>
      <c r="B459" s="31"/>
      <c r="C459" s="31"/>
      <c r="D459" s="32">
        <v>3143.58</v>
      </c>
      <c r="E459" s="32">
        <v>3143.58</v>
      </c>
      <c r="F459" s="31"/>
      <c r="G459" s="31"/>
    </row>
    <row r="460" s="11" customFormat="1" ht="37" customHeight="1" outlineLevel="3" spans="1:7">
      <c r="A460" s="30" t="s">
        <v>776</v>
      </c>
      <c r="B460" s="31"/>
      <c r="C460" s="31"/>
      <c r="D460" s="32">
        <v>1083.19</v>
      </c>
      <c r="E460" s="32">
        <v>1083.19</v>
      </c>
      <c r="F460" s="31"/>
      <c r="G460" s="31"/>
    </row>
    <row r="461" s="11" customFormat="1" ht="37" customHeight="1" outlineLevel="3" spans="1:7">
      <c r="A461" s="30" t="s">
        <v>777</v>
      </c>
      <c r="B461" s="31"/>
      <c r="C461" s="31"/>
      <c r="D461" s="32">
        <v>2514.86</v>
      </c>
      <c r="E461" s="32">
        <v>2514.86</v>
      </c>
      <c r="F461" s="31"/>
      <c r="G461" s="31"/>
    </row>
    <row r="462" s="11" customFormat="1" ht="37" customHeight="1" outlineLevel="3" spans="1:7">
      <c r="A462" s="30" t="s">
        <v>778</v>
      </c>
      <c r="B462" s="31"/>
      <c r="C462" s="31"/>
      <c r="D462" s="32">
        <v>3772.3</v>
      </c>
      <c r="E462" s="32">
        <v>3772.3</v>
      </c>
      <c r="F462" s="31"/>
      <c r="G462" s="31"/>
    </row>
    <row r="463" s="11" customFormat="1" ht="37" customHeight="1" outlineLevel="3" spans="1:7">
      <c r="A463" s="30" t="s">
        <v>779</v>
      </c>
      <c r="B463" s="31"/>
      <c r="C463" s="31"/>
      <c r="D463" s="32">
        <v>3772.3</v>
      </c>
      <c r="E463" s="32">
        <v>3772.3</v>
      </c>
      <c r="F463" s="31"/>
      <c r="G463" s="31"/>
    </row>
    <row r="464" s="11" customFormat="1" ht="37" customHeight="1" outlineLevel="3" spans="1:7">
      <c r="A464" s="30" t="s">
        <v>780</v>
      </c>
      <c r="B464" s="31"/>
      <c r="C464" s="31"/>
      <c r="D464" s="32">
        <v>3772.3</v>
      </c>
      <c r="E464" s="32">
        <v>3772.3</v>
      </c>
      <c r="F464" s="31"/>
      <c r="G464" s="31"/>
    </row>
    <row r="465" s="11" customFormat="1" ht="37" customHeight="1" outlineLevel="3" spans="1:7">
      <c r="A465" s="30" t="s">
        <v>781</v>
      </c>
      <c r="B465" s="31"/>
      <c r="C465" s="31"/>
      <c r="D465" s="32">
        <v>12574.32</v>
      </c>
      <c r="E465" s="32">
        <v>12574.32</v>
      </c>
      <c r="F465" s="31"/>
      <c r="G465" s="31"/>
    </row>
    <row r="466" s="11" customFormat="1" ht="37" customHeight="1" outlineLevel="3" spans="1:7">
      <c r="A466" s="30" t="s">
        <v>782</v>
      </c>
      <c r="B466" s="31"/>
      <c r="C466" s="31"/>
      <c r="D466" s="32">
        <v>12574.32</v>
      </c>
      <c r="E466" s="32">
        <v>12574.32</v>
      </c>
      <c r="F466" s="31"/>
      <c r="G466" s="31"/>
    </row>
    <row r="467" s="11" customFormat="1" ht="37" customHeight="1" outlineLevel="3" spans="1:7">
      <c r="A467" s="30" t="s">
        <v>783</v>
      </c>
      <c r="B467" s="31"/>
      <c r="C467" s="31"/>
      <c r="D467" s="32">
        <v>3143.58</v>
      </c>
      <c r="E467" s="32">
        <v>3143.58</v>
      </c>
      <c r="F467" s="31"/>
      <c r="G467" s="31"/>
    </row>
    <row r="468" s="11" customFormat="1" ht="37" customHeight="1" outlineLevel="3" spans="1:7">
      <c r="A468" s="30" t="s">
        <v>784</v>
      </c>
      <c r="B468" s="31"/>
      <c r="C468" s="31"/>
      <c r="D468" s="32">
        <v>12574.32</v>
      </c>
      <c r="E468" s="32">
        <v>12574.32</v>
      </c>
      <c r="F468" s="31"/>
      <c r="G468" s="31"/>
    </row>
    <row r="469" s="11" customFormat="1" ht="37" customHeight="1" outlineLevel="3" spans="1:7">
      <c r="A469" s="30" t="s">
        <v>785</v>
      </c>
      <c r="B469" s="31"/>
      <c r="C469" s="31"/>
      <c r="D469" s="32">
        <v>3143.58</v>
      </c>
      <c r="E469" s="32">
        <v>3143.58</v>
      </c>
      <c r="F469" s="31"/>
      <c r="G469" s="31"/>
    </row>
    <row r="470" s="11" customFormat="1" ht="37" customHeight="1" outlineLevel="3" spans="1:7">
      <c r="A470" s="30" t="s">
        <v>786</v>
      </c>
      <c r="B470" s="31"/>
      <c r="C470" s="31"/>
      <c r="D470" s="32">
        <v>3249.58</v>
      </c>
      <c r="E470" s="32">
        <v>3249.58</v>
      </c>
      <c r="F470" s="31"/>
      <c r="G470" s="31"/>
    </row>
    <row r="471" s="11" customFormat="1" ht="37" customHeight="1" outlineLevel="3" spans="1:7">
      <c r="A471" s="30" t="s">
        <v>787</v>
      </c>
      <c r="B471" s="31"/>
      <c r="C471" s="31"/>
      <c r="D471" s="32">
        <v>3772.3</v>
      </c>
      <c r="E471" s="32">
        <v>3772.3</v>
      </c>
      <c r="F471" s="31"/>
      <c r="G471" s="31"/>
    </row>
    <row r="472" s="11" customFormat="1" ht="37" customHeight="1" outlineLevel="3" spans="1:7">
      <c r="A472" s="30" t="s">
        <v>788</v>
      </c>
      <c r="B472" s="31"/>
      <c r="C472" s="31"/>
      <c r="D472" s="32">
        <v>3772.3</v>
      </c>
      <c r="E472" s="32">
        <v>3772.3</v>
      </c>
      <c r="F472" s="31"/>
      <c r="G472" s="31"/>
    </row>
    <row r="473" s="11" customFormat="1" ht="37" customHeight="1" outlineLevel="3" spans="1:7">
      <c r="A473" s="30" t="s">
        <v>789</v>
      </c>
      <c r="B473" s="31"/>
      <c r="C473" s="31"/>
      <c r="D473" s="32">
        <v>3772.3</v>
      </c>
      <c r="E473" s="32">
        <v>3772.3</v>
      </c>
      <c r="F473" s="31"/>
      <c r="G473" s="31"/>
    </row>
    <row r="474" s="11" customFormat="1" ht="37" customHeight="1" outlineLevel="3" spans="1:7">
      <c r="A474" s="30" t="s">
        <v>790</v>
      </c>
      <c r="B474" s="31"/>
      <c r="C474" s="31"/>
      <c r="D474" s="32">
        <v>3772.3</v>
      </c>
      <c r="E474" s="32">
        <v>3772.3</v>
      </c>
      <c r="F474" s="31"/>
      <c r="G474" s="31"/>
    </row>
    <row r="475" s="11" customFormat="1" ht="37" customHeight="1" outlineLevel="3" spans="1:7">
      <c r="A475" s="30" t="s">
        <v>791</v>
      </c>
      <c r="B475" s="31"/>
      <c r="C475" s="31"/>
      <c r="D475" s="32">
        <v>12574.32</v>
      </c>
      <c r="E475" s="32">
        <v>12574.32</v>
      </c>
      <c r="F475" s="31"/>
      <c r="G475" s="31"/>
    </row>
    <row r="476" s="11" customFormat="1" ht="37" customHeight="1" outlineLevel="3" spans="1:7">
      <c r="A476" s="30" t="s">
        <v>792</v>
      </c>
      <c r="B476" s="31"/>
      <c r="C476" s="31"/>
      <c r="D476" s="32">
        <v>3143.58</v>
      </c>
      <c r="E476" s="32">
        <v>3143.58</v>
      </c>
      <c r="F476" s="31"/>
      <c r="G476" s="31"/>
    </row>
    <row r="477" s="11" customFormat="1" ht="37" customHeight="1" outlineLevel="3" spans="1:7">
      <c r="A477" s="30" t="s">
        <v>793</v>
      </c>
      <c r="B477" s="31"/>
      <c r="C477" s="31"/>
      <c r="D477" s="32">
        <v>3772.3</v>
      </c>
      <c r="E477" s="32">
        <v>3772.3</v>
      </c>
      <c r="F477" s="31"/>
      <c r="G477" s="31"/>
    </row>
    <row r="478" s="11" customFormat="1" ht="37" customHeight="1" outlineLevel="3" spans="1:7">
      <c r="A478" s="30" t="s">
        <v>794</v>
      </c>
      <c r="B478" s="31"/>
      <c r="C478" s="31"/>
      <c r="D478" s="32">
        <v>3772.3</v>
      </c>
      <c r="E478" s="32">
        <v>3772.3</v>
      </c>
      <c r="F478" s="31"/>
      <c r="G478" s="31"/>
    </row>
    <row r="479" s="11" customFormat="1" ht="37" customHeight="1" outlineLevel="3" spans="1:7">
      <c r="A479" s="30" t="s">
        <v>795</v>
      </c>
      <c r="B479" s="31"/>
      <c r="C479" s="31"/>
      <c r="D479" s="32">
        <v>3249.58</v>
      </c>
      <c r="E479" s="32">
        <v>3249.58</v>
      </c>
      <c r="F479" s="31"/>
      <c r="G479" s="31"/>
    </row>
    <row r="480" s="11" customFormat="1" ht="37" customHeight="1" outlineLevel="3" spans="1:7">
      <c r="A480" s="30" t="s">
        <v>796</v>
      </c>
      <c r="B480" s="31"/>
      <c r="C480" s="31"/>
      <c r="D480" s="32">
        <v>3249.58</v>
      </c>
      <c r="E480" s="32">
        <v>3249.58</v>
      </c>
      <c r="F480" s="31"/>
      <c r="G480" s="31"/>
    </row>
    <row r="481" s="11" customFormat="1" ht="37" customHeight="1" outlineLevel="3" spans="1:7">
      <c r="A481" s="30" t="s">
        <v>797</v>
      </c>
      <c r="B481" s="31"/>
      <c r="C481" s="31"/>
      <c r="D481" s="32">
        <v>3249.58</v>
      </c>
      <c r="E481" s="32">
        <v>3249.58</v>
      </c>
      <c r="F481" s="31"/>
      <c r="G481" s="31"/>
    </row>
    <row r="482" s="11" customFormat="1" ht="37" customHeight="1" outlineLevel="3" spans="1:7">
      <c r="A482" s="30" t="s">
        <v>798</v>
      </c>
      <c r="B482" s="31"/>
      <c r="C482" s="31"/>
      <c r="D482" s="32">
        <v>12574.32</v>
      </c>
      <c r="E482" s="32">
        <v>12574.32</v>
      </c>
      <c r="F482" s="31"/>
      <c r="G482" s="31"/>
    </row>
    <row r="483" s="11" customFormat="1" ht="37" customHeight="1" outlineLevel="3" spans="1:7">
      <c r="A483" s="30" t="s">
        <v>799</v>
      </c>
      <c r="B483" s="31"/>
      <c r="C483" s="31"/>
      <c r="D483" s="32">
        <v>3772.3</v>
      </c>
      <c r="E483" s="32">
        <v>3772.3</v>
      </c>
      <c r="F483" s="31"/>
      <c r="G483" s="31"/>
    </row>
    <row r="484" s="11" customFormat="1" ht="37" customHeight="1" outlineLevel="3" spans="1:7">
      <c r="A484" s="30" t="s">
        <v>800</v>
      </c>
      <c r="B484" s="31"/>
      <c r="C484" s="31"/>
      <c r="D484" s="32">
        <v>3249.58</v>
      </c>
      <c r="E484" s="32">
        <v>3249.58</v>
      </c>
      <c r="F484" s="31"/>
      <c r="G484" s="31"/>
    </row>
    <row r="485" s="11" customFormat="1" ht="37" customHeight="1" outlineLevel="3" spans="1:7">
      <c r="A485" s="30" t="s">
        <v>801</v>
      </c>
      <c r="B485" s="31"/>
      <c r="C485" s="31"/>
      <c r="D485" s="32">
        <v>3249.58</v>
      </c>
      <c r="E485" s="32">
        <v>3249.58</v>
      </c>
      <c r="F485" s="31"/>
      <c r="G485" s="31"/>
    </row>
    <row r="486" s="11" customFormat="1" ht="37" customHeight="1" outlineLevel="3" spans="1:7">
      <c r="A486" s="30" t="s">
        <v>802</v>
      </c>
      <c r="B486" s="31"/>
      <c r="C486" s="31"/>
      <c r="D486" s="32">
        <v>3772.3</v>
      </c>
      <c r="E486" s="32">
        <v>3772.3</v>
      </c>
      <c r="F486" s="31"/>
      <c r="G486" s="31"/>
    </row>
    <row r="487" s="11" customFormat="1" ht="37" customHeight="1" outlineLevel="3" spans="1:7">
      <c r="A487" s="30" t="s">
        <v>803</v>
      </c>
      <c r="B487" s="31"/>
      <c r="C487" s="31"/>
      <c r="D487" s="32">
        <v>3772.3</v>
      </c>
      <c r="E487" s="32">
        <v>3772.3</v>
      </c>
      <c r="F487" s="31"/>
      <c r="G487" s="31"/>
    </row>
    <row r="488" s="11" customFormat="1" ht="37" customHeight="1" outlineLevel="3" spans="1:7">
      <c r="A488" s="30" t="s">
        <v>804</v>
      </c>
      <c r="B488" s="31"/>
      <c r="C488" s="31"/>
      <c r="D488" s="32">
        <v>3772.3</v>
      </c>
      <c r="E488" s="32">
        <v>3772.3</v>
      </c>
      <c r="F488" s="31"/>
      <c r="G488" s="31"/>
    </row>
    <row r="489" s="11" customFormat="1" ht="37" customHeight="1" outlineLevel="3" spans="1:7">
      <c r="A489" s="30" t="s">
        <v>805</v>
      </c>
      <c r="B489" s="31"/>
      <c r="C489" s="31"/>
      <c r="D489" s="32">
        <v>3772.3</v>
      </c>
      <c r="E489" s="32">
        <v>3772.3</v>
      </c>
      <c r="F489" s="31"/>
      <c r="G489" s="31"/>
    </row>
    <row r="490" s="11" customFormat="1" ht="37" customHeight="1" outlineLevel="3" spans="1:7">
      <c r="A490" s="30" t="s">
        <v>806</v>
      </c>
      <c r="B490" s="31"/>
      <c r="C490" s="31"/>
      <c r="D490" s="32">
        <v>10059.46</v>
      </c>
      <c r="E490" s="32">
        <v>10059.46</v>
      </c>
      <c r="F490" s="31"/>
      <c r="G490" s="31"/>
    </row>
    <row r="491" s="11" customFormat="1" ht="37" customHeight="1" outlineLevel="3" spans="1:7">
      <c r="A491" s="30" t="s">
        <v>807</v>
      </c>
      <c r="B491" s="31"/>
      <c r="C491" s="31"/>
      <c r="D491" s="32">
        <v>3772.3</v>
      </c>
      <c r="E491" s="32">
        <v>3772.3</v>
      </c>
      <c r="F491" s="31"/>
      <c r="G491" s="31"/>
    </row>
    <row r="492" s="11" customFormat="1" ht="37" customHeight="1" outlineLevel="3" spans="1:7">
      <c r="A492" s="30" t="s">
        <v>808</v>
      </c>
      <c r="B492" s="31"/>
      <c r="C492" s="31"/>
      <c r="D492" s="32">
        <v>3772.3</v>
      </c>
      <c r="E492" s="32">
        <v>3772.3</v>
      </c>
      <c r="F492" s="31"/>
      <c r="G492" s="31"/>
    </row>
    <row r="493" s="11" customFormat="1" ht="37" customHeight="1" outlineLevel="3" spans="1:7">
      <c r="A493" s="30" t="s">
        <v>809</v>
      </c>
      <c r="B493" s="31"/>
      <c r="C493" s="31"/>
      <c r="D493" s="32">
        <v>3772.3</v>
      </c>
      <c r="E493" s="32">
        <v>3772.3</v>
      </c>
      <c r="F493" s="31"/>
      <c r="G493" s="31"/>
    </row>
    <row r="494" s="11" customFormat="1" ht="37" customHeight="1" outlineLevel="3" spans="1:7">
      <c r="A494" s="30" t="s">
        <v>810</v>
      </c>
      <c r="B494" s="31"/>
      <c r="C494" s="31"/>
      <c r="D494" s="32">
        <v>3772.3</v>
      </c>
      <c r="E494" s="32">
        <v>3772.3</v>
      </c>
      <c r="F494" s="31"/>
      <c r="G494" s="31"/>
    </row>
    <row r="495" s="11" customFormat="1" ht="37" customHeight="1" outlineLevel="3" spans="1:7">
      <c r="A495" s="30" t="s">
        <v>811</v>
      </c>
      <c r="B495" s="31"/>
      <c r="C495" s="31"/>
      <c r="D495" s="32">
        <v>3772.3</v>
      </c>
      <c r="E495" s="32">
        <v>3772.3</v>
      </c>
      <c r="F495" s="31"/>
      <c r="G495" s="31"/>
    </row>
    <row r="496" s="11" customFormat="1" ht="37" customHeight="1" outlineLevel="3" spans="1:7">
      <c r="A496" s="30" t="s">
        <v>812</v>
      </c>
      <c r="B496" s="31"/>
      <c r="C496" s="31"/>
      <c r="D496" s="32">
        <v>10059.46</v>
      </c>
      <c r="E496" s="32">
        <v>10059.46</v>
      </c>
      <c r="F496" s="31"/>
      <c r="G496" s="31"/>
    </row>
    <row r="497" s="11" customFormat="1" ht="37" customHeight="1" outlineLevel="3" spans="1:7">
      <c r="A497" s="30" t="s">
        <v>813</v>
      </c>
      <c r="B497" s="31"/>
      <c r="C497" s="31"/>
      <c r="D497" s="32">
        <v>4332.77</v>
      </c>
      <c r="E497" s="32">
        <v>4332.77</v>
      </c>
      <c r="F497" s="31"/>
      <c r="G497" s="31"/>
    </row>
    <row r="498" s="11" customFormat="1" ht="37" customHeight="1" outlineLevel="3" spans="1:7">
      <c r="A498" s="30" t="s">
        <v>814</v>
      </c>
      <c r="B498" s="31"/>
      <c r="C498" s="31"/>
      <c r="D498" s="32">
        <v>3772.3</v>
      </c>
      <c r="E498" s="32">
        <v>3772.3</v>
      </c>
      <c r="F498" s="31"/>
      <c r="G498" s="31"/>
    </row>
    <row r="499" s="11" customFormat="1" ht="37" customHeight="1" outlineLevel="3" spans="1:7">
      <c r="A499" s="30" t="s">
        <v>815</v>
      </c>
      <c r="B499" s="31"/>
      <c r="C499" s="31"/>
      <c r="D499" s="32">
        <v>8802.02</v>
      </c>
      <c r="E499" s="32">
        <v>8802.02</v>
      </c>
      <c r="F499" s="31"/>
      <c r="G499" s="31"/>
    </row>
    <row r="500" s="11" customFormat="1" ht="37" customHeight="1" outlineLevel="3" spans="1:7">
      <c r="A500" s="30" t="s">
        <v>816</v>
      </c>
      <c r="B500" s="31"/>
      <c r="C500" s="31"/>
      <c r="D500" s="32">
        <v>8802.02</v>
      </c>
      <c r="E500" s="32">
        <v>8802.02</v>
      </c>
      <c r="F500" s="31"/>
      <c r="G500" s="31"/>
    </row>
    <row r="501" s="11" customFormat="1" ht="37" customHeight="1" outlineLevel="3" spans="1:7">
      <c r="A501" s="30" t="s">
        <v>817</v>
      </c>
      <c r="B501" s="31"/>
      <c r="C501" s="31"/>
      <c r="D501" s="32">
        <v>8173.31</v>
      </c>
      <c r="E501" s="32">
        <v>8173.31</v>
      </c>
      <c r="F501" s="31"/>
      <c r="G501" s="31"/>
    </row>
    <row r="502" s="11" customFormat="1" ht="37" customHeight="1" outlineLevel="3" spans="1:7">
      <c r="A502" s="30" t="s">
        <v>818</v>
      </c>
      <c r="B502" s="31"/>
      <c r="C502" s="31"/>
      <c r="D502" s="32">
        <v>6915.88</v>
      </c>
      <c r="E502" s="32">
        <v>6915.88</v>
      </c>
      <c r="F502" s="31"/>
      <c r="G502" s="31"/>
    </row>
    <row r="503" s="11" customFormat="1" ht="37" customHeight="1" outlineLevel="3" spans="1:7">
      <c r="A503" s="30" t="s">
        <v>819</v>
      </c>
      <c r="B503" s="31"/>
      <c r="C503" s="31"/>
      <c r="D503" s="32">
        <v>8802.02</v>
      </c>
      <c r="E503" s="32">
        <v>8802.02</v>
      </c>
      <c r="F503" s="31"/>
      <c r="G503" s="31"/>
    </row>
    <row r="504" s="11" customFormat="1" ht="37" customHeight="1" outlineLevel="3" spans="1:7">
      <c r="A504" s="30" t="s">
        <v>820</v>
      </c>
      <c r="B504" s="31"/>
      <c r="C504" s="31"/>
      <c r="D504" s="32">
        <v>8802.02</v>
      </c>
      <c r="E504" s="32">
        <v>8802.02</v>
      </c>
      <c r="F504" s="31"/>
      <c r="G504" s="31"/>
    </row>
    <row r="505" s="11" customFormat="1" ht="37" customHeight="1" outlineLevel="3" spans="1:7">
      <c r="A505" s="30" t="s">
        <v>821</v>
      </c>
      <c r="B505" s="31"/>
      <c r="C505" s="31"/>
      <c r="D505" s="32">
        <v>2700.72</v>
      </c>
      <c r="E505" s="32">
        <v>2700.72</v>
      </c>
      <c r="F505" s="31"/>
      <c r="G505" s="31"/>
    </row>
    <row r="506" s="11" customFormat="1" ht="37" customHeight="1" outlineLevel="3" spans="1:7">
      <c r="A506" s="30" t="s">
        <v>822</v>
      </c>
      <c r="B506" s="31"/>
      <c r="C506" s="31"/>
      <c r="D506" s="32">
        <v>5029.73</v>
      </c>
      <c r="E506" s="32">
        <v>5029.73</v>
      </c>
      <c r="F506" s="31"/>
      <c r="G506" s="31"/>
    </row>
    <row r="507" s="11" customFormat="1" ht="37" customHeight="1" outlineLevel="3" spans="1:7">
      <c r="A507" s="30" t="s">
        <v>823</v>
      </c>
      <c r="B507" s="31"/>
      <c r="C507" s="31"/>
      <c r="D507" s="32">
        <v>3772.3</v>
      </c>
      <c r="E507" s="32">
        <v>3772.3</v>
      </c>
      <c r="F507" s="31"/>
      <c r="G507" s="31"/>
    </row>
    <row r="508" s="11" customFormat="1" ht="37" customHeight="1" outlineLevel="3" spans="1:7">
      <c r="A508" s="30" t="s">
        <v>824</v>
      </c>
      <c r="B508" s="31"/>
      <c r="C508" s="31"/>
      <c r="D508" s="32">
        <v>3249.58</v>
      </c>
      <c r="E508" s="32">
        <v>3249.58</v>
      </c>
      <c r="F508" s="31"/>
      <c r="G508" s="31"/>
    </row>
    <row r="509" s="11" customFormat="1" ht="37" customHeight="1" outlineLevel="3" spans="1:7">
      <c r="A509" s="30" t="s">
        <v>825</v>
      </c>
      <c r="B509" s="31"/>
      <c r="C509" s="31"/>
      <c r="D509" s="32">
        <v>3249.58</v>
      </c>
      <c r="E509" s="32">
        <v>3249.58</v>
      </c>
      <c r="F509" s="31"/>
      <c r="G509" s="31"/>
    </row>
    <row r="510" s="11" customFormat="1" ht="37" customHeight="1" outlineLevel="3" spans="1:7">
      <c r="A510" s="30" t="s">
        <v>826</v>
      </c>
      <c r="B510" s="31"/>
      <c r="C510" s="31"/>
      <c r="D510" s="32">
        <v>3772.3</v>
      </c>
      <c r="E510" s="32">
        <v>3772.3</v>
      </c>
      <c r="F510" s="31"/>
      <c r="G510" s="31"/>
    </row>
    <row r="511" s="11" customFormat="1" ht="37" customHeight="1" outlineLevel="3" spans="1:7">
      <c r="A511" s="30" t="s">
        <v>827</v>
      </c>
      <c r="B511" s="31"/>
      <c r="C511" s="31"/>
      <c r="D511" s="32">
        <v>3772.3</v>
      </c>
      <c r="E511" s="32">
        <v>3772.3</v>
      </c>
      <c r="F511" s="31"/>
      <c r="G511" s="31"/>
    </row>
    <row r="512" s="11" customFormat="1" ht="37" customHeight="1" outlineLevel="3" spans="1:7">
      <c r="A512" s="30" t="s">
        <v>828</v>
      </c>
      <c r="B512" s="31"/>
      <c r="C512" s="31"/>
      <c r="D512" s="32">
        <v>4401.01</v>
      </c>
      <c r="E512" s="32">
        <v>4401.01</v>
      </c>
      <c r="F512" s="31"/>
      <c r="G512" s="31"/>
    </row>
    <row r="513" s="11" customFormat="1" ht="37" customHeight="1" outlineLevel="3" spans="1:7">
      <c r="A513" s="30" t="s">
        <v>829</v>
      </c>
      <c r="B513" s="31"/>
      <c r="C513" s="31"/>
      <c r="D513" s="32">
        <v>4726.26</v>
      </c>
      <c r="E513" s="32">
        <v>4726.26</v>
      </c>
      <c r="F513" s="31"/>
      <c r="G513" s="31"/>
    </row>
    <row r="514" s="11" customFormat="1" ht="37" customHeight="1" outlineLevel="3" spans="1:7">
      <c r="A514" s="30" t="s">
        <v>830</v>
      </c>
      <c r="B514" s="31"/>
      <c r="C514" s="31"/>
      <c r="D514" s="32">
        <v>9452.52</v>
      </c>
      <c r="E514" s="32">
        <v>9452.52</v>
      </c>
      <c r="F514" s="31"/>
      <c r="G514" s="31"/>
    </row>
    <row r="515" s="11" customFormat="1" ht="37" customHeight="1" outlineLevel="3" spans="1:7">
      <c r="A515" s="30" t="s">
        <v>831</v>
      </c>
      <c r="B515" s="31"/>
      <c r="C515" s="31"/>
      <c r="D515" s="32">
        <v>9452.52</v>
      </c>
      <c r="E515" s="32">
        <v>9452.52</v>
      </c>
      <c r="F515" s="31"/>
      <c r="G515" s="31"/>
    </row>
    <row r="516" s="11" customFormat="1" ht="37" customHeight="1" outlineLevel="3" spans="1:7">
      <c r="A516" s="30" t="s">
        <v>832</v>
      </c>
      <c r="B516" s="31"/>
      <c r="C516" s="31"/>
      <c r="D516" s="32">
        <v>9452.52</v>
      </c>
      <c r="E516" s="32">
        <v>9452.52</v>
      </c>
      <c r="F516" s="31"/>
      <c r="G516" s="31"/>
    </row>
    <row r="517" s="11" customFormat="1" ht="37" customHeight="1" outlineLevel="3" spans="1:7">
      <c r="A517" s="30" t="s">
        <v>833</v>
      </c>
      <c r="B517" s="31"/>
      <c r="C517" s="31"/>
      <c r="D517" s="32">
        <v>8665.54</v>
      </c>
      <c r="E517" s="32">
        <v>8665.54</v>
      </c>
      <c r="F517" s="31"/>
      <c r="G517" s="31"/>
    </row>
    <row r="518" s="11" customFormat="1" ht="37" customHeight="1" outlineLevel="3" spans="1:7">
      <c r="A518" s="30" t="s">
        <v>834</v>
      </c>
      <c r="B518" s="31"/>
      <c r="C518" s="31"/>
      <c r="D518" s="32">
        <v>3143.58</v>
      </c>
      <c r="E518" s="32">
        <v>3143.58</v>
      </c>
      <c r="F518" s="31"/>
      <c r="G518" s="31"/>
    </row>
    <row r="519" s="11" customFormat="1" ht="37" customHeight="1" outlineLevel="3" spans="1:7">
      <c r="A519" s="30" t="s">
        <v>835</v>
      </c>
      <c r="B519" s="31"/>
      <c r="C519" s="31"/>
      <c r="D519" s="32">
        <v>3772.3</v>
      </c>
      <c r="E519" s="32">
        <v>3772.3</v>
      </c>
      <c r="F519" s="31"/>
      <c r="G519" s="31"/>
    </row>
    <row r="520" s="11" customFormat="1" ht="37" customHeight="1" outlineLevel="3" spans="1:7">
      <c r="A520" s="30" t="s">
        <v>836</v>
      </c>
      <c r="B520" s="31"/>
      <c r="C520" s="31"/>
      <c r="D520" s="32">
        <v>3772.3</v>
      </c>
      <c r="E520" s="32">
        <v>3772.3</v>
      </c>
      <c r="F520" s="31"/>
      <c r="G520" s="31"/>
    </row>
    <row r="521" s="11" customFormat="1" ht="37" customHeight="1" outlineLevel="3" spans="1:7">
      <c r="A521" s="30" t="s">
        <v>837</v>
      </c>
      <c r="B521" s="31"/>
      <c r="C521" s="31"/>
      <c r="D521" s="32">
        <v>3143.58</v>
      </c>
      <c r="E521" s="32">
        <v>3143.58</v>
      </c>
      <c r="F521" s="31"/>
      <c r="G521" s="31"/>
    </row>
    <row r="522" s="11" customFormat="1" ht="37" customHeight="1" outlineLevel="3" spans="1:7">
      <c r="A522" s="30" t="s">
        <v>838</v>
      </c>
      <c r="B522" s="31"/>
      <c r="C522" s="31"/>
      <c r="D522" s="32">
        <v>3772.3</v>
      </c>
      <c r="E522" s="32">
        <v>3772.3</v>
      </c>
      <c r="F522" s="31"/>
      <c r="G522" s="31"/>
    </row>
    <row r="523" s="11" customFormat="1" ht="37" customHeight="1" outlineLevel="3" spans="1:7">
      <c r="A523" s="30" t="s">
        <v>839</v>
      </c>
      <c r="B523" s="31"/>
      <c r="C523" s="31"/>
      <c r="D523" s="32">
        <v>1886.15</v>
      </c>
      <c r="E523" s="32">
        <v>1886.15</v>
      </c>
      <c r="F523" s="31"/>
      <c r="G523" s="31"/>
    </row>
    <row r="524" s="11" customFormat="1" ht="37" customHeight="1" outlineLevel="3" spans="1:7">
      <c r="A524" s="30" t="s">
        <v>840</v>
      </c>
      <c r="B524" s="31"/>
      <c r="C524" s="31"/>
      <c r="D524" s="32">
        <v>9452.52</v>
      </c>
      <c r="E524" s="32">
        <v>9452.52</v>
      </c>
      <c r="F524" s="31"/>
      <c r="G524" s="31"/>
    </row>
    <row r="525" s="11" customFormat="1" ht="37" customHeight="1" outlineLevel="3" spans="1:7">
      <c r="A525" s="30" t="s">
        <v>841</v>
      </c>
      <c r="B525" s="31"/>
      <c r="C525" s="31"/>
      <c r="D525" s="32">
        <v>7426.98</v>
      </c>
      <c r="E525" s="32">
        <v>7426.98</v>
      </c>
      <c r="F525" s="31"/>
      <c r="G525" s="31"/>
    </row>
    <row r="526" s="11" customFormat="1" ht="37" customHeight="1" outlineLevel="3" spans="1:7">
      <c r="A526" s="30" t="s">
        <v>842</v>
      </c>
      <c r="B526" s="31"/>
      <c r="C526" s="31"/>
      <c r="D526" s="32">
        <v>3772.3</v>
      </c>
      <c r="E526" s="32">
        <v>3772.3</v>
      </c>
      <c r="F526" s="31"/>
      <c r="G526" s="31"/>
    </row>
    <row r="527" s="11" customFormat="1" ht="37" customHeight="1" outlineLevel="3" spans="1:7">
      <c r="A527" s="30" t="s">
        <v>843</v>
      </c>
      <c r="B527" s="31"/>
      <c r="C527" s="31"/>
      <c r="D527" s="32">
        <v>3772.3</v>
      </c>
      <c r="E527" s="32">
        <v>3772.3</v>
      </c>
      <c r="F527" s="31"/>
      <c r="G527" s="31"/>
    </row>
    <row r="528" s="11" customFormat="1" ht="37" customHeight="1" outlineLevel="3" spans="1:7">
      <c r="A528" s="30" t="s">
        <v>844</v>
      </c>
      <c r="B528" s="31"/>
      <c r="C528" s="31"/>
      <c r="D528" s="32">
        <v>8665.54</v>
      </c>
      <c r="E528" s="32">
        <v>8665.54</v>
      </c>
      <c r="F528" s="31"/>
      <c r="G528" s="31"/>
    </row>
    <row r="529" s="11" customFormat="1" ht="37" customHeight="1" outlineLevel="3" spans="1:7">
      <c r="A529" s="30" t="s">
        <v>845</v>
      </c>
      <c r="B529" s="31"/>
      <c r="C529" s="31"/>
      <c r="D529" s="32">
        <v>6076.62</v>
      </c>
      <c r="E529" s="32">
        <v>6076.62</v>
      </c>
      <c r="F529" s="31"/>
      <c r="G529" s="31"/>
    </row>
    <row r="530" s="11" customFormat="1" ht="37" customHeight="1" outlineLevel="3" spans="1:7">
      <c r="A530" s="30" t="s">
        <v>846</v>
      </c>
      <c r="B530" s="31"/>
      <c r="C530" s="31"/>
      <c r="D530" s="32">
        <v>3143.58</v>
      </c>
      <c r="E530" s="32">
        <v>3143.58</v>
      </c>
      <c r="F530" s="31"/>
      <c r="G530" s="31"/>
    </row>
    <row r="531" s="11" customFormat="1" ht="37" customHeight="1" outlineLevel="3" spans="1:7">
      <c r="A531" s="30" t="s">
        <v>847</v>
      </c>
      <c r="B531" s="31"/>
      <c r="C531" s="31"/>
      <c r="D531" s="32">
        <v>4401.01</v>
      </c>
      <c r="E531" s="32">
        <v>4401.01</v>
      </c>
      <c r="F531" s="31"/>
      <c r="G531" s="31"/>
    </row>
    <row r="532" s="11" customFormat="1" ht="37" customHeight="1" outlineLevel="3" spans="1:7">
      <c r="A532" s="30" t="s">
        <v>848</v>
      </c>
      <c r="B532" s="31"/>
      <c r="C532" s="31"/>
      <c r="D532" s="32">
        <v>4726.26</v>
      </c>
      <c r="E532" s="32">
        <v>4726.26</v>
      </c>
      <c r="F532" s="31"/>
      <c r="G532" s="31"/>
    </row>
    <row r="533" s="11" customFormat="1" ht="37" customHeight="1" outlineLevel="3" spans="1:7">
      <c r="A533" s="30" t="s">
        <v>849</v>
      </c>
      <c r="B533" s="31"/>
      <c r="C533" s="31"/>
      <c r="D533" s="32">
        <v>9452.52</v>
      </c>
      <c r="E533" s="32">
        <v>9452.52</v>
      </c>
      <c r="F533" s="31"/>
      <c r="G533" s="31"/>
    </row>
    <row r="534" s="11" customFormat="1" ht="37" customHeight="1" outlineLevel="3" spans="1:7">
      <c r="A534" s="30" t="s">
        <v>850</v>
      </c>
      <c r="B534" s="31"/>
      <c r="C534" s="31"/>
      <c r="D534" s="32">
        <v>9452.52</v>
      </c>
      <c r="E534" s="32">
        <v>9452.52</v>
      </c>
      <c r="F534" s="31"/>
      <c r="G534" s="31"/>
    </row>
    <row r="535" s="11" customFormat="1" ht="37" customHeight="1" outlineLevel="3" spans="1:7">
      <c r="A535" s="30" t="s">
        <v>851</v>
      </c>
      <c r="B535" s="31"/>
      <c r="C535" s="31"/>
      <c r="D535" s="32">
        <v>9452.52</v>
      </c>
      <c r="E535" s="32">
        <v>9452.52</v>
      </c>
      <c r="F535" s="31"/>
      <c r="G535" s="31"/>
    </row>
    <row r="536" s="11" customFormat="1" ht="37" customHeight="1" outlineLevel="3" spans="1:7">
      <c r="A536" s="30" t="s">
        <v>852</v>
      </c>
      <c r="B536" s="31"/>
      <c r="C536" s="31"/>
      <c r="D536" s="32">
        <v>9452.52</v>
      </c>
      <c r="E536" s="32">
        <v>9452.52</v>
      </c>
      <c r="F536" s="31"/>
      <c r="G536" s="31"/>
    </row>
    <row r="537" s="11" customFormat="1" ht="37" customHeight="1" outlineLevel="3" spans="1:7">
      <c r="A537" s="30" t="s">
        <v>853</v>
      </c>
      <c r="B537" s="31"/>
      <c r="C537" s="31"/>
      <c r="D537" s="32">
        <v>1886.15</v>
      </c>
      <c r="E537" s="32">
        <v>1886.15</v>
      </c>
      <c r="F537" s="31"/>
      <c r="G537" s="31"/>
    </row>
    <row r="538" s="11" customFormat="1" ht="37" customHeight="1" outlineLevel="3" spans="1:7">
      <c r="A538" s="30" t="s">
        <v>854</v>
      </c>
      <c r="B538" s="31"/>
      <c r="C538" s="31"/>
      <c r="D538" s="32">
        <v>6915.88</v>
      </c>
      <c r="E538" s="32">
        <v>6915.88</v>
      </c>
      <c r="F538" s="31"/>
      <c r="G538" s="31"/>
    </row>
    <row r="539" s="11" customFormat="1" ht="37" customHeight="1" outlineLevel="3" spans="1:7">
      <c r="A539" s="30" t="s">
        <v>855</v>
      </c>
      <c r="B539" s="31"/>
      <c r="C539" s="31"/>
      <c r="D539" s="32">
        <v>3510.94</v>
      </c>
      <c r="E539" s="32">
        <v>3510.94</v>
      </c>
      <c r="F539" s="31"/>
      <c r="G539" s="31"/>
    </row>
    <row r="540" s="11" customFormat="1" ht="37" customHeight="1" outlineLevel="3" spans="1:7">
      <c r="A540" s="30" t="s">
        <v>856</v>
      </c>
      <c r="B540" s="31"/>
      <c r="C540" s="31"/>
      <c r="D540" s="32">
        <v>3249.58</v>
      </c>
      <c r="E540" s="32">
        <v>3249.58</v>
      </c>
      <c r="F540" s="31"/>
      <c r="G540" s="31"/>
    </row>
    <row r="541" s="11" customFormat="1" ht="37" customHeight="1" outlineLevel="3" spans="1:7">
      <c r="A541" s="30" t="s">
        <v>857</v>
      </c>
      <c r="B541" s="31"/>
      <c r="C541" s="31"/>
      <c r="D541" s="32">
        <v>3249.58</v>
      </c>
      <c r="E541" s="32">
        <v>3249.58</v>
      </c>
      <c r="F541" s="31"/>
      <c r="G541" s="31"/>
    </row>
    <row r="542" s="11" customFormat="1" ht="37" customHeight="1" outlineLevel="3" spans="1:7">
      <c r="A542" s="30" t="s">
        <v>858</v>
      </c>
      <c r="B542" s="31"/>
      <c r="C542" s="31"/>
      <c r="D542" s="32">
        <v>3249.58</v>
      </c>
      <c r="E542" s="32">
        <v>3249.58</v>
      </c>
      <c r="F542" s="31"/>
      <c r="G542" s="31"/>
    </row>
    <row r="543" s="11" customFormat="1" ht="37" customHeight="1" outlineLevel="3" spans="1:7">
      <c r="A543" s="30" t="s">
        <v>859</v>
      </c>
      <c r="B543" s="31"/>
      <c r="C543" s="31"/>
      <c r="D543" s="32">
        <v>3249.58</v>
      </c>
      <c r="E543" s="32">
        <v>3249.58</v>
      </c>
      <c r="F543" s="31"/>
      <c r="G543" s="31"/>
    </row>
    <row r="544" s="11" customFormat="1" ht="37" customHeight="1" outlineLevel="3" spans="1:7">
      <c r="A544" s="30" t="s">
        <v>860</v>
      </c>
      <c r="B544" s="31"/>
      <c r="C544" s="31"/>
      <c r="D544" s="32">
        <v>9452.52</v>
      </c>
      <c r="E544" s="32">
        <v>9452.52</v>
      </c>
      <c r="F544" s="31"/>
      <c r="G544" s="31"/>
    </row>
    <row r="545" s="11" customFormat="1" ht="37" customHeight="1" outlineLevel="3" spans="1:7">
      <c r="A545" s="30" t="s">
        <v>861</v>
      </c>
      <c r="B545" s="31"/>
      <c r="C545" s="31"/>
      <c r="D545" s="32">
        <v>3772.3</v>
      </c>
      <c r="E545" s="32">
        <v>3772.3</v>
      </c>
      <c r="F545" s="31"/>
      <c r="G545" s="31"/>
    </row>
    <row r="546" s="11" customFormat="1" ht="37" customHeight="1" outlineLevel="3" spans="1:7">
      <c r="A546" s="30" t="s">
        <v>862</v>
      </c>
      <c r="B546" s="31"/>
      <c r="C546" s="31"/>
      <c r="D546" s="32">
        <v>8665.54</v>
      </c>
      <c r="E546" s="32">
        <v>8665.54</v>
      </c>
      <c r="F546" s="31"/>
      <c r="G546" s="31"/>
    </row>
    <row r="547" s="11" customFormat="1" ht="37" customHeight="1" outlineLevel="3" spans="1:7">
      <c r="A547" s="30" t="s">
        <v>863</v>
      </c>
      <c r="B547" s="31"/>
      <c r="C547" s="31"/>
      <c r="D547" s="32">
        <v>9452.52</v>
      </c>
      <c r="E547" s="32">
        <v>9452.52</v>
      </c>
      <c r="F547" s="31"/>
      <c r="G547" s="31"/>
    </row>
    <row r="548" s="11" customFormat="1" ht="37" customHeight="1" outlineLevel="3" spans="1:7">
      <c r="A548" s="30" t="s">
        <v>864</v>
      </c>
      <c r="B548" s="31"/>
      <c r="C548" s="31"/>
      <c r="D548" s="32">
        <v>9452.52</v>
      </c>
      <c r="E548" s="32">
        <v>9452.52</v>
      </c>
      <c r="F548" s="31"/>
      <c r="G548" s="31"/>
    </row>
    <row r="549" s="11" customFormat="1" ht="37" customHeight="1" outlineLevel="3" spans="1:7">
      <c r="A549" s="30" t="s">
        <v>865</v>
      </c>
      <c r="B549" s="31"/>
      <c r="C549" s="31"/>
      <c r="D549" s="32">
        <v>9452.52</v>
      </c>
      <c r="E549" s="32">
        <v>9452.52</v>
      </c>
      <c r="F549" s="31"/>
      <c r="G549" s="31"/>
    </row>
    <row r="550" s="11" customFormat="1" ht="37" customHeight="1" outlineLevel="3" spans="1:7">
      <c r="A550" s="30" t="s">
        <v>866</v>
      </c>
      <c r="B550" s="31"/>
      <c r="C550" s="31"/>
      <c r="D550" s="32">
        <v>3143.58</v>
      </c>
      <c r="E550" s="32">
        <v>3143.58</v>
      </c>
      <c r="F550" s="31"/>
      <c r="G550" s="31"/>
    </row>
    <row r="551" s="11" customFormat="1" ht="37" customHeight="1" outlineLevel="3" spans="1:7">
      <c r="A551" s="30" t="s">
        <v>867</v>
      </c>
      <c r="B551" s="31"/>
      <c r="C551" s="31"/>
      <c r="D551" s="32">
        <v>8665.54</v>
      </c>
      <c r="E551" s="32">
        <v>8665.54</v>
      </c>
      <c r="F551" s="31"/>
      <c r="G551" s="31"/>
    </row>
    <row r="552" s="11" customFormat="1" ht="37" customHeight="1" outlineLevel="3" spans="1:7">
      <c r="A552" s="30" t="s">
        <v>868</v>
      </c>
      <c r="B552" s="31"/>
      <c r="C552" s="31"/>
      <c r="D552" s="32">
        <v>8665.54</v>
      </c>
      <c r="E552" s="32">
        <v>8665.54</v>
      </c>
      <c r="F552" s="31"/>
      <c r="G552" s="31"/>
    </row>
    <row r="553" s="11" customFormat="1" ht="37" customHeight="1" outlineLevel="3" spans="1:7">
      <c r="A553" s="30" t="s">
        <v>869</v>
      </c>
      <c r="B553" s="31"/>
      <c r="C553" s="31"/>
      <c r="D553" s="32">
        <v>8665.54</v>
      </c>
      <c r="E553" s="32">
        <v>8665.54</v>
      </c>
      <c r="F553" s="31"/>
      <c r="G553" s="31"/>
    </row>
    <row r="554" s="11" customFormat="1" ht="37" customHeight="1" outlineLevel="3" spans="1:7">
      <c r="A554" s="30" t="s">
        <v>870</v>
      </c>
      <c r="B554" s="31"/>
      <c r="C554" s="31"/>
      <c r="D554" s="32">
        <v>8665.54</v>
      </c>
      <c r="E554" s="32">
        <v>8665.54</v>
      </c>
      <c r="F554" s="31"/>
      <c r="G554" s="31"/>
    </row>
    <row r="555" s="11" customFormat="1" ht="37" customHeight="1" outlineLevel="3" spans="1:7">
      <c r="A555" s="30" t="s">
        <v>871</v>
      </c>
      <c r="B555" s="31"/>
      <c r="C555" s="31"/>
      <c r="D555" s="32">
        <v>3772.3</v>
      </c>
      <c r="E555" s="32">
        <v>3772.3</v>
      </c>
      <c r="F555" s="31"/>
      <c r="G555" s="31"/>
    </row>
    <row r="556" s="11" customFormat="1" ht="37" customHeight="1" outlineLevel="3" spans="1:7">
      <c r="A556" s="30" t="s">
        <v>872</v>
      </c>
      <c r="B556" s="31"/>
      <c r="C556" s="31"/>
      <c r="D556" s="32">
        <v>3772.3</v>
      </c>
      <c r="E556" s="32">
        <v>3772.3</v>
      </c>
      <c r="F556" s="31"/>
      <c r="G556" s="31"/>
    </row>
    <row r="557" s="11" customFormat="1" ht="37" customHeight="1" outlineLevel="3" spans="1:7">
      <c r="A557" s="30" t="s">
        <v>873</v>
      </c>
      <c r="B557" s="31"/>
      <c r="C557" s="31"/>
      <c r="D557" s="32">
        <v>3772.3</v>
      </c>
      <c r="E557" s="32">
        <v>3772.3</v>
      </c>
      <c r="F557" s="31"/>
      <c r="G557" s="31"/>
    </row>
    <row r="558" s="11" customFormat="1" ht="37" customHeight="1" outlineLevel="3" spans="1:7">
      <c r="A558" s="30" t="s">
        <v>874</v>
      </c>
      <c r="B558" s="31"/>
      <c r="C558" s="31"/>
      <c r="D558" s="32">
        <v>8173.31</v>
      </c>
      <c r="E558" s="32">
        <v>8173.31</v>
      </c>
      <c r="F558" s="31"/>
      <c r="G558" s="31"/>
    </row>
    <row r="559" s="11" customFormat="1" ht="37" customHeight="1" outlineLevel="3" spans="1:7">
      <c r="A559" s="30" t="s">
        <v>875</v>
      </c>
      <c r="B559" s="31"/>
      <c r="C559" s="31"/>
      <c r="D559" s="32">
        <v>10802.88</v>
      </c>
      <c r="E559" s="32">
        <v>10802.88</v>
      </c>
      <c r="F559" s="31"/>
      <c r="G559" s="31"/>
    </row>
    <row r="560" s="11" customFormat="1" ht="37" customHeight="1" outlineLevel="3" spans="1:7">
      <c r="A560" s="30" t="s">
        <v>876</v>
      </c>
      <c r="B560" s="31"/>
      <c r="C560" s="31"/>
      <c r="D560" s="32">
        <v>10802.88</v>
      </c>
      <c r="E560" s="32">
        <v>10802.88</v>
      </c>
      <c r="F560" s="31"/>
      <c r="G560" s="31"/>
    </row>
    <row r="561" s="11" customFormat="1" ht="37" customHeight="1" outlineLevel="3" spans="1:7">
      <c r="A561" s="30" t="s">
        <v>877</v>
      </c>
      <c r="B561" s="31"/>
      <c r="C561" s="31"/>
      <c r="D561" s="32">
        <v>11703.12</v>
      </c>
      <c r="E561" s="31"/>
      <c r="F561" s="32">
        <v>11703.12</v>
      </c>
      <c r="G561" s="31"/>
    </row>
    <row r="562" s="11" customFormat="1" ht="37" customHeight="1" outlineLevel="3" spans="1:7">
      <c r="A562" s="30" t="s">
        <v>878</v>
      </c>
      <c r="B562" s="31"/>
      <c r="C562" s="31"/>
      <c r="D562" s="32">
        <v>11703.12</v>
      </c>
      <c r="E562" s="31"/>
      <c r="F562" s="32">
        <v>11703.12</v>
      </c>
      <c r="G562" s="31"/>
    </row>
    <row r="563" s="11" customFormat="1" ht="37" customHeight="1" outlineLevel="3" spans="1:7">
      <c r="A563" s="30" t="s">
        <v>879</v>
      </c>
      <c r="B563" s="31"/>
      <c r="C563" s="31"/>
      <c r="D563" s="32">
        <v>10802.88</v>
      </c>
      <c r="E563" s="31"/>
      <c r="F563" s="32">
        <v>10802.88</v>
      </c>
      <c r="G563" s="31"/>
    </row>
    <row r="564" s="11" customFormat="1" ht="37" customHeight="1" outlineLevel="3" spans="1:7">
      <c r="A564" s="30" t="s">
        <v>880</v>
      </c>
      <c r="B564" s="31"/>
      <c r="C564" s="31"/>
      <c r="D564" s="32">
        <v>2707.98</v>
      </c>
      <c r="E564" s="32">
        <v>2707.98</v>
      </c>
      <c r="F564" s="31"/>
      <c r="G564" s="31"/>
    </row>
    <row r="565" s="11" customFormat="1" ht="37" customHeight="1" outlineLevel="3" spans="1:7">
      <c r="A565" s="30" t="s">
        <v>881</v>
      </c>
      <c r="B565" s="31"/>
      <c r="C565" s="31"/>
      <c r="D565" s="32">
        <v>11703.12</v>
      </c>
      <c r="E565" s="31"/>
      <c r="F565" s="32">
        <v>11703.12</v>
      </c>
      <c r="G565" s="31"/>
    </row>
    <row r="566" s="11" customFormat="1" ht="37" customHeight="1" outlineLevel="3" spans="1:7">
      <c r="A566" s="30" t="s">
        <v>882</v>
      </c>
      <c r="B566" s="31"/>
      <c r="C566" s="31"/>
      <c r="D566" s="32">
        <v>11703.12</v>
      </c>
      <c r="E566" s="31"/>
      <c r="F566" s="32">
        <v>11703.12</v>
      </c>
      <c r="G566" s="31"/>
    </row>
    <row r="567" s="11" customFormat="1" ht="37" customHeight="1" outlineLevel="3" spans="1:7">
      <c r="A567" s="30" t="s">
        <v>883</v>
      </c>
      <c r="B567" s="31"/>
      <c r="C567" s="31"/>
      <c r="D567" s="32">
        <v>3772.3</v>
      </c>
      <c r="E567" s="32">
        <v>3772.3</v>
      </c>
      <c r="F567" s="31"/>
      <c r="G567" s="31"/>
    </row>
    <row r="568" s="11" customFormat="1" ht="37" customHeight="1" outlineLevel="3" spans="1:7">
      <c r="A568" s="30" t="s">
        <v>884</v>
      </c>
      <c r="B568" s="31"/>
      <c r="C568" s="31"/>
      <c r="D568" s="32">
        <v>3772.3</v>
      </c>
      <c r="E568" s="32">
        <v>3772.3</v>
      </c>
      <c r="F568" s="31"/>
      <c r="G568" s="31"/>
    </row>
    <row r="569" s="11" customFormat="1" ht="37" customHeight="1" outlineLevel="3" spans="1:7">
      <c r="A569" s="30" t="s">
        <v>885</v>
      </c>
      <c r="B569" s="31"/>
      <c r="C569" s="31"/>
      <c r="D569" s="32">
        <v>3772.3</v>
      </c>
      <c r="E569" s="32">
        <v>3772.3</v>
      </c>
      <c r="F569" s="31"/>
      <c r="G569" s="31"/>
    </row>
    <row r="570" s="11" customFormat="1" ht="37" customHeight="1" outlineLevel="3" spans="1:7">
      <c r="A570" s="30" t="s">
        <v>886</v>
      </c>
      <c r="B570" s="31"/>
      <c r="C570" s="31"/>
      <c r="D570" s="32">
        <v>3772.3</v>
      </c>
      <c r="E570" s="32">
        <v>3772.3</v>
      </c>
      <c r="F570" s="31"/>
      <c r="G570" s="31"/>
    </row>
    <row r="571" s="11" customFormat="1" ht="37" customHeight="1" outlineLevel="3" spans="1:7">
      <c r="A571" s="30" t="s">
        <v>887</v>
      </c>
      <c r="B571" s="31"/>
      <c r="C571" s="31"/>
      <c r="D571" s="32">
        <v>3772.3</v>
      </c>
      <c r="E571" s="32">
        <v>3772.3</v>
      </c>
      <c r="F571" s="31"/>
      <c r="G571" s="31"/>
    </row>
    <row r="572" s="11" customFormat="1" ht="37" customHeight="1" outlineLevel="3" spans="1:7">
      <c r="A572" s="30" t="s">
        <v>888</v>
      </c>
      <c r="B572" s="31"/>
      <c r="C572" s="31"/>
      <c r="D572" s="32">
        <v>10059.46</v>
      </c>
      <c r="E572" s="31"/>
      <c r="F572" s="32">
        <v>10059.46</v>
      </c>
      <c r="G572" s="31"/>
    </row>
    <row r="573" s="11" customFormat="1" ht="37" customHeight="1" outlineLevel="3" spans="1:7">
      <c r="A573" s="30" t="s">
        <v>889</v>
      </c>
      <c r="B573" s="31"/>
      <c r="C573" s="31"/>
      <c r="D573" s="32">
        <v>10059.46</v>
      </c>
      <c r="E573" s="31"/>
      <c r="F573" s="32">
        <v>10059.46</v>
      </c>
      <c r="G573" s="31"/>
    </row>
    <row r="574" s="11" customFormat="1" ht="37" customHeight="1" outlineLevel="3" spans="1:7">
      <c r="A574" s="30" t="s">
        <v>890</v>
      </c>
      <c r="B574" s="31"/>
      <c r="C574" s="31"/>
      <c r="D574" s="32">
        <v>3772.3</v>
      </c>
      <c r="E574" s="32">
        <v>3772.3</v>
      </c>
      <c r="F574" s="31"/>
      <c r="G574" s="31"/>
    </row>
    <row r="575" s="11" customFormat="1" ht="37" customHeight="1" outlineLevel="3" spans="1:7">
      <c r="A575" s="30" t="s">
        <v>891</v>
      </c>
      <c r="B575" s="31"/>
      <c r="C575" s="31"/>
      <c r="D575" s="32">
        <v>3772.3</v>
      </c>
      <c r="E575" s="32">
        <v>3772.3</v>
      </c>
      <c r="F575" s="31"/>
      <c r="G575" s="31"/>
    </row>
    <row r="576" s="11" customFormat="1" ht="37" customHeight="1" outlineLevel="3" spans="1:7">
      <c r="A576" s="30" t="s">
        <v>892</v>
      </c>
      <c r="B576" s="31"/>
      <c r="C576" s="31"/>
      <c r="D576" s="32">
        <v>3772.3</v>
      </c>
      <c r="E576" s="32">
        <v>3772.3</v>
      </c>
      <c r="F576" s="31"/>
      <c r="G576" s="31"/>
    </row>
    <row r="577" s="11" customFormat="1" ht="37" customHeight="1" outlineLevel="3" spans="1:7">
      <c r="A577" s="30" t="s">
        <v>893</v>
      </c>
      <c r="B577" s="31"/>
      <c r="C577" s="31"/>
      <c r="D577" s="32">
        <v>10802.88</v>
      </c>
      <c r="E577" s="31"/>
      <c r="F577" s="32">
        <v>10802.88</v>
      </c>
      <c r="G577" s="31"/>
    </row>
    <row r="578" s="11" customFormat="1" ht="37" customHeight="1" outlineLevel="3" spans="1:7">
      <c r="A578" s="30" t="s">
        <v>894</v>
      </c>
      <c r="B578" s="31"/>
      <c r="C578" s="31"/>
      <c r="D578" s="32">
        <v>11703.12</v>
      </c>
      <c r="E578" s="31"/>
      <c r="F578" s="32">
        <v>11703.12</v>
      </c>
      <c r="G578" s="31"/>
    </row>
    <row r="579" s="11" customFormat="1" ht="37" customHeight="1" outlineLevel="3" spans="1:7">
      <c r="A579" s="30" t="s">
        <v>895</v>
      </c>
      <c r="B579" s="31"/>
      <c r="C579" s="31"/>
      <c r="D579" s="32">
        <v>11703.12</v>
      </c>
      <c r="E579" s="31"/>
      <c r="F579" s="32">
        <v>11703.12</v>
      </c>
      <c r="G579" s="31"/>
    </row>
    <row r="580" s="11" customFormat="1" ht="37" customHeight="1" outlineLevel="3" spans="1:7">
      <c r="A580" s="30" t="s">
        <v>896</v>
      </c>
      <c r="B580" s="31"/>
      <c r="C580" s="31"/>
      <c r="D580" s="32">
        <v>3772.3</v>
      </c>
      <c r="E580" s="32">
        <v>3772.3</v>
      </c>
      <c r="F580" s="31"/>
      <c r="G580" s="31"/>
    </row>
    <row r="581" s="11" customFormat="1" ht="37" customHeight="1" outlineLevel="3" spans="1:7">
      <c r="A581" s="30" t="s">
        <v>897</v>
      </c>
      <c r="B581" s="31"/>
      <c r="C581" s="31"/>
      <c r="D581" s="32">
        <v>3772.3</v>
      </c>
      <c r="E581" s="32">
        <v>3772.3</v>
      </c>
      <c r="F581" s="31"/>
      <c r="G581" s="31"/>
    </row>
    <row r="582" s="11" customFormat="1" ht="37" customHeight="1" outlineLevel="3" spans="1:7">
      <c r="A582" s="30" t="s">
        <v>898</v>
      </c>
      <c r="B582" s="31"/>
      <c r="C582" s="31"/>
      <c r="D582" s="32">
        <v>3772.3</v>
      </c>
      <c r="E582" s="32">
        <v>3772.3</v>
      </c>
      <c r="F582" s="31"/>
      <c r="G582" s="31"/>
    </row>
    <row r="583" s="11" customFormat="1" ht="37" customHeight="1" outlineLevel="3" spans="1:7">
      <c r="A583" s="30" t="s">
        <v>899</v>
      </c>
      <c r="B583" s="31"/>
      <c r="C583" s="31"/>
      <c r="D583" s="32">
        <v>10059.46</v>
      </c>
      <c r="E583" s="31"/>
      <c r="F583" s="32">
        <v>10059.46</v>
      </c>
      <c r="G583" s="31"/>
    </row>
    <row r="584" s="11" customFormat="1" ht="37" customHeight="1" outlineLevel="3" spans="1:7">
      <c r="A584" s="30" t="s">
        <v>900</v>
      </c>
      <c r="B584" s="31"/>
      <c r="C584" s="31"/>
      <c r="D584" s="32">
        <v>10524.1</v>
      </c>
      <c r="E584" s="31"/>
      <c r="F584" s="32">
        <v>10524.1</v>
      </c>
      <c r="G584" s="31"/>
    </row>
    <row r="585" s="11" customFormat="1" ht="37" customHeight="1" outlineLevel="3" spans="1:7">
      <c r="A585" s="30" t="s">
        <v>901</v>
      </c>
      <c r="B585" s="31"/>
      <c r="C585" s="31"/>
      <c r="D585" s="32">
        <v>11703.12</v>
      </c>
      <c r="E585" s="31"/>
      <c r="F585" s="32">
        <v>11703.12</v>
      </c>
      <c r="G585" s="31"/>
    </row>
    <row r="586" s="11" customFormat="1" ht="37" customHeight="1" outlineLevel="3" spans="1:7">
      <c r="A586" s="30" t="s">
        <v>902</v>
      </c>
      <c r="B586" s="31"/>
      <c r="C586" s="31"/>
      <c r="D586" s="32">
        <v>11703.12</v>
      </c>
      <c r="E586" s="31"/>
      <c r="F586" s="32">
        <v>11703.12</v>
      </c>
      <c r="G586" s="31"/>
    </row>
    <row r="587" s="11" customFormat="1" ht="37" customHeight="1" outlineLevel="3" spans="1:7">
      <c r="A587" s="30" t="s">
        <v>903</v>
      </c>
      <c r="B587" s="31"/>
      <c r="C587" s="31"/>
      <c r="D587" s="32">
        <v>12574.32</v>
      </c>
      <c r="E587" s="32">
        <v>12574.32</v>
      </c>
      <c r="F587" s="31"/>
      <c r="G587" s="31"/>
    </row>
    <row r="588" s="11" customFormat="1" ht="37" customHeight="1" outlineLevel="3" spans="1:7">
      <c r="A588" s="30" t="s">
        <v>904</v>
      </c>
      <c r="B588" s="31"/>
      <c r="C588" s="31"/>
      <c r="D588" s="32">
        <v>3772.3</v>
      </c>
      <c r="E588" s="32">
        <v>3772.3</v>
      </c>
      <c r="F588" s="31"/>
      <c r="G588" s="31"/>
    </row>
    <row r="589" s="11" customFormat="1" ht="37" customHeight="1" outlineLevel="3" spans="1:7">
      <c r="A589" s="30" t="s">
        <v>905</v>
      </c>
      <c r="B589" s="31"/>
      <c r="C589" s="31"/>
      <c r="D589" s="32">
        <v>3772.3</v>
      </c>
      <c r="E589" s="32">
        <v>3772.3</v>
      </c>
      <c r="F589" s="31"/>
      <c r="G589" s="31"/>
    </row>
    <row r="590" s="11" customFormat="1" ht="37" customHeight="1" outlineLevel="3" spans="1:7">
      <c r="A590" s="30" t="s">
        <v>906</v>
      </c>
      <c r="B590" s="31"/>
      <c r="C590" s="31"/>
      <c r="D590" s="32">
        <v>3772.3</v>
      </c>
      <c r="E590" s="32">
        <v>3772.3</v>
      </c>
      <c r="F590" s="31"/>
      <c r="G590" s="31"/>
    </row>
    <row r="591" s="11" customFormat="1" ht="37" customHeight="1" outlineLevel="3" spans="1:7">
      <c r="A591" s="30" t="s">
        <v>907</v>
      </c>
      <c r="B591" s="31"/>
      <c r="C591" s="31"/>
      <c r="D591" s="32">
        <v>3772.3</v>
      </c>
      <c r="E591" s="32">
        <v>3772.3</v>
      </c>
      <c r="F591" s="31"/>
      <c r="G591" s="31"/>
    </row>
    <row r="592" s="11" customFormat="1" ht="37" customHeight="1" outlineLevel="3" spans="1:7">
      <c r="A592" s="30" t="s">
        <v>908</v>
      </c>
      <c r="B592" s="31"/>
      <c r="C592" s="31"/>
      <c r="D592" s="32">
        <v>11945.6</v>
      </c>
      <c r="E592" s="31"/>
      <c r="F592" s="32">
        <v>11945.6</v>
      </c>
      <c r="G592" s="31"/>
    </row>
    <row r="593" s="11" customFormat="1" ht="37" customHeight="1" outlineLevel="3" spans="1:7">
      <c r="A593" s="30" t="s">
        <v>909</v>
      </c>
      <c r="B593" s="31"/>
      <c r="C593" s="31"/>
      <c r="D593" s="32">
        <v>12574.32</v>
      </c>
      <c r="E593" s="32">
        <v>12574.32</v>
      </c>
      <c r="F593" s="31"/>
      <c r="G593" s="31"/>
    </row>
    <row r="594" s="11" customFormat="1" ht="37" customHeight="1" outlineLevel="3" spans="1:7">
      <c r="A594" s="30" t="s">
        <v>910</v>
      </c>
      <c r="B594" s="31"/>
      <c r="C594" s="31"/>
      <c r="D594" s="32">
        <v>9452.52</v>
      </c>
      <c r="E594" s="32">
        <v>9452.52</v>
      </c>
      <c r="F594" s="31"/>
      <c r="G594" s="31"/>
    </row>
    <row r="595" s="11" customFormat="1" ht="37" customHeight="1" outlineLevel="3" spans="1:7">
      <c r="A595" s="30" t="s">
        <v>911</v>
      </c>
      <c r="B595" s="31"/>
      <c r="C595" s="31"/>
      <c r="D595" s="32">
        <v>9452.52</v>
      </c>
      <c r="E595" s="32">
        <v>9452.52</v>
      </c>
      <c r="F595" s="31"/>
      <c r="G595" s="31"/>
    </row>
    <row r="596" s="11" customFormat="1" ht="37" customHeight="1" outlineLevel="3" spans="1:7">
      <c r="A596" s="30" t="s">
        <v>912</v>
      </c>
      <c r="B596" s="31"/>
      <c r="C596" s="31"/>
      <c r="D596" s="32">
        <v>3772.3</v>
      </c>
      <c r="E596" s="32">
        <v>3772.3</v>
      </c>
      <c r="F596" s="31"/>
      <c r="G596" s="31"/>
    </row>
    <row r="597" s="11" customFormat="1" ht="37" customHeight="1" outlineLevel="3" spans="1:7">
      <c r="A597" s="30" t="s">
        <v>913</v>
      </c>
      <c r="B597" s="31"/>
      <c r="C597" s="31"/>
      <c r="D597" s="32">
        <v>3772.3</v>
      </c>
      <c r="E597" s="32">
        <v>3772.3</v>
      </c>
      <c r="F597" s="31"/>
      <c r="G597" s="31"/>
    </row>
    <row r="598" s="11" customFormat="1" ht="37" customHeight="1" outlineLevel="3" spans="1:7">
      <c r="A598" s="30" t="s">
        <v>914</v>
      </c>
      <c r="B598" s="31"/>
      <c r="C598" s="31"/>
      <c r="D598" s="32">
        <v>3911.69</v>
      </c>
      <c r="E598" s="32">
        <v>3911.69</v>
      </c>
      <c r="F598" s="31"/>
      <c r="G598" s="31"/>
    </row>
    <row r="599" s="11" customFormat="1" ht="37" customHeight="1" outlineLevel="3" spans="1:7">
      <c r="A599" s="30" t="s">
        <v>915</v>
      </c>
      <c r="B599" s="31"/>
      <c r="C599" s="31"/>
      <c r="D599" s="32">
        <v>12574.32</v>
      </c>
      <c r="E599" s="32">
        <v>12574.32</v>
      </c>
      <c r="F599" s="31"/>
      <c r="G599" s="31"/>
    </row>
    <row r="600" s="11" customFormat="1" ht="37" customHeight="1" outlineLevel="3" spans="1:7">
      <c r="A600" s="30" t="s">
        <v>916</v>
      </c>
      <c r="B600" s="31"/>
      <c r="C600" s="31"/>
      <c r="D600" s="32">
        <v>3772.3</v>
      </c>
      <c r="E600" s="32">
        <v>3772.3</v>
      </c>
      <c r="F600" s="31"/>
      <c r="G600" s="31"/>
    </row>
    <row r="601" s="11" customFormat="1" ht="37" customHeight="1" outlineLevel="3" spans="1:7">
      <c r="A601" s="30" t="s">
        <v>917</v>
      </c>
      <c r="B601" s="31"/>
      <c r="C601" s="31"/>
      <c r="D601" s="32">
        <v>3375.9</v>
      </c>
      <c r="E601" s="32">
        <v>3375.9</v>
      </c>
      <c r="F601" s="31"/>
      <c r="G601" s="31"/>
    </row>
    <row r="602" s="11" customFormat="1" ht="37" customHeight="1" outlineLevel="3" spans="1:7">
      <c r="A602" s="30" t="s">
        <v>918</v>
      </c>
      <c r="B602" s="31"/>
      <c r="C602" s="31"/>
      <c r="D602" s="32">
        <v>9452.52</v>
      </c>
      <c r="E602" s="31"/>
      <c r="F602" s="32">
        <v>9452.52</v>
      </c>
      <c r="G602" s="31"/>
    </row>
    <row r="603" s="11" customFormat="1" ht="37" customHeight="1" outlineLevel="3" spans="1:7">
      <c r="A603" s="30" t="s">
        <v>919</v>
      </c>
      <c r="B603" s="31"/>
      <c r="C603" s="31"/>
      <c r="D603" s="32">
        <v>9452.52</v>
      </c>
      <c r="E603" s="31"/>
      <c r="F603" s="32">
        <v>9452.52</v>
      </c>
      <c r="G603" s="31"/>
    </row>
    <row r="604" s="11" customFormat="1" ht="37" customHeight="1" outlineLevel="3" spans="1:7">
      <c r="A604" s="30" t="s">
        <v>920</v>
      </c>
      <c r="B604" s="31"/>
      <c r="C604" s="31"/>
      <c r="D604" s="32">
        <v>9452.52</v>
      </c>
      <c r="E604" s="31"/>
      <c r="F604" s="32">
        <v>9452.52</v>
      </c>
      <c r="G604" s="31"/>
    </row>
    <row r="605" s="11" customFormat="1" ht="37" customHeight="1" outlineLevel="3" spans="1:7">
      <c r="A605" s="30" t="s">
        <v>921</v>
      </c>
      <c r="B605" s="31"/>
      <c r="C605" s="31"/>
      <c r="D605" s="32">
        <v>10431.17</v>
      </c>
      <c r="E605" s="31"/>
      <c r="F605" s="32">
        <v>10431.17</v>
      </c>
      <c r="G605" s="31"/>
    </row>
    <row r="606" s="11" customFormat="1" ht="37" customHeight="1" outlineLevel="3" spans="1:7">
      <c r="A606" s="30" t="s">
        <v>922</v>
      </c>
      <c r="B606" s="31"/>
      <c r="C606" s="31"/>
      <c r="D606" s="32">
        <v>5401.44</v>
      </c>
      <c r="E606" s="32">
        <v>5401.44</v>
      </c>
      <c r="F606" s="31"/>
      <c r="G606" s="31"/>
    </row>
    <row r="607" s="11" customFormat="1" ht="37" customHeight="1" outlineLevel="3" spans="1:7">
      <c r="A607" s="30" t="s">
        <v>923</v>
      </c>
      <c r="B607" s="31"/>
      <c r="C607" s="31"/>
      <c r="D607" s="32">
        <v>12574.32</v>
      </c>
      <c r="E607" s="31"/>
      <c r="F607" s="32">
        <v>12574.32</v>
      </c>
      <c r="G607" s="31"/>
    </row>
    <row r="608" s="11" customFormat="1" ht="37" customHeight="1" outlineLevel="3" spans="1:7">
      <c r="A608" s="30" t="s">
        <v>924</v>
      </c>
      <c r="B608" s="31"/>
      <c r="C608" s="31"/>
      <c r="D608" s="32">
        <v>9452.52</v>
      </c>
      <c r="E608" s="31"/>
      <c r="F608" s="32">
        <v>9452.52</v>
      </c>
      <c r="G608" s="31"/>
    </row>
    <row r="609" s="11" customFormat="1" ht="37" customHeight="1" outlineLevel="3" spans="1:7">
      <c r="A609" s="30" t="s">
        <v>925</v>
      </c>
      <c r="B609" s="31"/>
      <c r="C609" s="31"/>
      <c r="D609" s="32">
        <v>12574.32</v>
      </c>
      <c r="E609" s="31"/>
      <c r="F609" s="32">
        <v>12574.32</v>
      </c>
      <c r="G609" s="31"/>
    </row>
    <row r="610" s="11" customFormat="1" ht="37" customHeight="1" outlineLevel="3" spans="1:7">
      <c r="A610" s="30" t="s">
        <v>926</v>
      </c>
      <c r="B610" s="31"/>
      <c r="C610" s="31"/>
      <c r="D610" s="32">
        <v>12574.32</v>
      </c>
      <c r="E610" s="32">
        <v>12574.32</v>
      </c>
      <c r="F610" s="31"/>
      <c r="G610" s="31"/>
    </row>
    <row r="611" s="11" customFormat="1" ht="37" customHeight="1" outlineLevel="3" spans="1:7">
      <c r="A611" s="30" t="s">
        <v>927</v>
      </c>
      <c r="B611" s="31"/>
      <c r="C611" s="31"/>
      <c r="D611" s="32">
        <v>2700.72</v>
      </c>
      <c r="E611" s="32">
        <v>2700.72</v>
      </c>
      <c r="F611" s="31"/>
      <c r="G611" s="31"/>
    </row>
    <row r="612" s="11" customFormat="1" ht="37" customHeight="1" outlineLevel="3" spans="1:7">
      <c r="A612" s="30" t="s">
        <v>928</v>
      </c>
      <c r="B612" s="31"/>
      <c r="C612" s="31"/>
      <c r="D612" s="32">
        <v>8597.29</v>
      </c>
      <c r="E612" s="31"/>
      <c r="F612" s="32">
        <v>8597.29</v>
      </c>
      <c r="G612" s="31"/>
    </row>
    <row r="613" s="11" customFormat="1" ht="37" customHeight="1" outlineLevel="3" spans="1:7">
      <c r="A613" s="30" t="s">
        <v>929</v>
      </c>
      <c r="B613" s="31"/>
      <c r="C613" s="31"/>
      <c r="D613" s="32">
        <v>10245.31</v>
      </c>
      <c r="E613" s="31"/>
      <c r="F613" s="32">
        <v>10245.31</v>
      </c>
      <c r="G613" s="31"/>
    </row>
    <row r="614" s="11" customFormat="1" ht="37" customHeight="1" outlineLevel="3" spans="1:7">
      <c r="A614" s="30" t="s">
        <v>930</v>
      </c>
      <c r="B614" s="31"/>
      <c r="C614" s="31"/>
      <c r="D614" s="32">
        <v>3772.3</v>
      </c>
      <c r="E614" s="32">
        <v>3772.3</v>
      </c>
      <c r="F614" s="31"/>
      <c r="G614" s="31"/>
    </row>
    <row r="615" s="11" customFormat="1" ht="37" customHeight="1" outlineLevel="3" spans="1:7">
      <c r="A615" s="30" t="s">
        <v>931</v>
      </c>
      <c r="B615" s="31"/>
      <c r="C615" s="31"/>
      <c r="D615" s="32">
        <v>12574.32</v>
      </c>
      <c r="E615" s="32">
        <v>12574.32</v>
      </c>
      <c r="F615" s="31"/>
      <c r="G615" s="31"/>
    </row>
    <row r="616" s="11" customFormat="1" ht="37" customHeight="1" outlineLevel="3" spans="1:7">
      <c r="A616" s="30" t="s">
        <v>932</v>
      </c>
      <c r="B616" s="31"/>
      <c r="C616" s="31"/>
      <c r="D616" s="32">
        <v>3772.3</v>
      </c>
      <c r="E616" s="32">
        <v>3772.3</v>
      </c>
      <c r="F616" s="31"/>
      <c r="G616" s="31"/>
    </row>
    <row r="617" s="11" customFormat="1" ht="37" customHeight="1" outlineLevel="3" spans="1:7">
      <c r="A617" s="30" t="s">
        <v>933</v>
      </c>
      <c r="B617" s="31"/>
      <c r="C617" s="31"/>
      <c r="D617" s="32">
        <v>8987.88</v>
      </c>
      <c r="E617" s="32">
        <v>8987.88</v>
      </c>
      <c r="F617" s="31"/>
      <c r="G617" s="31"/>
    </row>
    <row r="618" s="11" customFormat="1" ht="37" customHeight="1" outlineLevel="3" spans="1:7">
      <c r="A618" s="30" t="s">
        <v>934</v>
      </c>
      <c r="B618" s="31"/>
      <c r="C618" s="31"/>
      <c r="D618" s="32">
        <v>12574.32</v>
      </c>
      <c r="E618" s="32">
        <v>12574.32</v>
      </c>
      <c r="F618" s="31"/>
      <c r="G618" s="31"/>
    </row>
    <row r="619" s="11" customFormat="1" ht="37" customHeight="1" outlineLevel="3" spans="1:7">
      <c r="A619" s="30" t="s">
        <v>935</v>
      </c>
      <c r="B619" s="31"/>
      <c r="C619" s="31"/>
      <c r="D619" s="32">
        <v>12574.32</v>
      </c>
      <c r="E619" s="32">
        <v>12574.32</v>
      </c>
      <c r="F619" s="31"/>
      <c r="G619" s="31"/>
    </row>
    <row r="620" s="11" customFormat="1" ht="37" customHeight="1" outlineLevel="3" spans="1:7">
      <c r="A620" s="30" t="s">
        <v>936</v>
      </c>
      <c r="B620" s="31"/>
      <c r="C620" s="31"/>
      <c r="D620" s="32">
        <v>12574.32</v>
      </c>
      <c r="E620" s="32">
        <v>12574.32</v>
      </c>
      <c r="F620" s="31"/>
      <c r="G620" s="31"/>
    </row>
    <row r="621" s="11" customFormat="1" ht="37" customHeight="1" outlineLevel="3" spans="1:7">
      <c r="A621" s="30" t="s">
        <v>937</v>
      </c>
      <c r="B621" s="31"/>
      <c r="C621" s="31"/>
      <c r="D621" s="32">
        <v>12153.24</v>
      </c>
      <c r="E621" s="32">
        <v>12153.24</v>
      </c>
      <c r="F621" s="31"/>
      <c r="G621" s="31"/>
    </row>
    <row r="622" s="11" customFormat="1" ht="37" customHeight="1" outlineLevel="3" spans="1:7">
      <c r="A622" s="30" t="s">
        <v>938</v>
      </c>
      <c r="B622" s="31"/>
      <c r="C622" s="31"/>
      <c r="D622" s="32">
        <v>12153.24</v>
      </c>
      <c r="E622" s="32">
        <v>12153.24</v>
      </c>
      <c r="F622" s="31"/>
      <c r="G622" s="31"/>
    </row>
    <row r="623" s="11" customFormat="1" ht="37" customHeight="1" outlineLevel="3" spans="1:7">
      <c r="A623" s="30" t="s">
        <v>939</v>
      </c>
      <c r="B623" s="31"/>
      <c r="C623" s="31"/>
      <c r="D623" s="32">
        <v>12153.24</v>
      </c>
      <c r="E623" s="32">
        <v>12153.24</v>
      </c>
      <c r="F623" s="31"/>
      <c r="G623" s="31"/>
    </row>
    <row r="624" s="11" customFormat="1" ht="37" customHeight="1" outlineLevel="3" spans="1:7">
      <c r="A624" s="30" t="s">
        <v>940</v>
      </c>
      <c r="B624" s="31"/>
      <c r="C624" s="31"/>
      <c r="D624" s="32">
        <v>3772.3</v>
      </c>
      <c r="E624" s="32">
        <v>3772.3</v>
      </c>
      <c r="F624" s="31"/>
      <c r="G624" s="31"/>
    </row>
    <row r="625" s="11" customFormat="1" ht="37" customHeight="1" outlineLevel="3" spans="1:7">
      <c r="A625" s="30" t="s">
        <v>941</v>
      </c>
      <c r="B625" s="31"/>
      <c r="C625" s="31"/>
      <c r="D625" s="32">
        <v>3772.3</v>
      </c>
      <c r="E625" s="32">
        <v>3772.3</v>
      </c>
      <c r="F625" s="31"/>
      <c r="G625" s="31"/>
    </row>
    <row r="626" s="11" customFormat="1" ht="37" customHeight="1" outlineLevel="3" spans="1:7">
      <c r="A626" s="30" t="s">
        <v>942</v>
      </c>
      <c r="B626" s="31"/>
      <c r="C626" s="31"/>
      <c r="D626" s="32">
        <v>3772.3</v>
      </c>
      <c r="E626" s="32">
        <v>3772.3</v>
      </c>
      <c r="F626" s="31"/>
      <c r="G626" s="31"/>
    </row>
    <row r="627" s="11" customFormat="1" ht="37" customHeight="1" outlineLevel="3" spans="1:7">
      <c r="A627" s="30" t="s">
        <v>943</v>
      </c>
      <c r="B627" s="31"/>
      <c r="C627" s="31"/>
      <c r="D627" s="32">
        <v>3772.3</v>
      </c>
      <c r="E627" s="32">
        <v>3772.3</v>
      </c>
      <c r="F627" s="31"/>
      <c r="G627" s="31"/>
    </row>
    <row r="628" s="11" customFormat="1" ht="37" customHeight="1" outlineLevel="3" spans="1:7">
      <c r="A628" s="30" t="s">
        <v>944</v>
      </c>
      <c r="B628" s="31"/>
      <c r="C628" s="31"/>
      <c r="D628" s="32">
        <v>10570.56</v>
      </c>
      <c r="E628" s="32">
        <v>10570.56</v>
      </c>
      <c r="F628" s="31"/>
      <c r="G628" s="31"/>
    </row>
    <row r="629" s="11" customFormat="1" ht="37" customHeight="1" outlineLevel="3" spans="1:7">
      <c r="A629" s="30" t="s">
        <v>945</v>
      </c>
      <c r="B629" s="31"/>
      <c r="C629" s="31"/>
      <c r="D629" s="32">
        <v>3772.3</v>
      </c>
      <c r="E629" s="32">
        <v>3772.3</v>
      </c>
      <c r="F629" s="31"/>
      <c r="G629" s="31"/>
    </row>
    <row r="630" s="11" customFormat="1" ht="37" customHeight="1" outlineLevel="3" spans="1:7">
      <c r="A630" s="30" t="s">
        <v>946</v>
      </c>
      <c r="B630" s="31"/>
      <c r="C630" s="31"/>
      <c r="D630" s="32">
        <v>3772.3</v>
      </c>
      <c r="E630" s="32">
        <v>3772.3</v>
      </c>
      <c r="F630" s="31"/>
      <c r="G630" s="31"/>
    </row>
    <row r="631" s="11" customFormat="1" ht="37" customHeight="1" outlineLevel="3" spans="1:7">
      <c r="A631" s="30" t="s">
        <v>947</v>
      </c>
      <c r="B631" s="31"/>
      <c r="C631" s="31"/>
      <c r="D631" s="32">
        <v>10802.88</v>
      </c>
      <c r="E631" s="32">
        <v>10802.88</v>
      </c>
      <c r="F631" s="31"/>
      <c r="G631" s="31"/>
    </row>
    <row r="632" s="11" customFormat="1" ht="37" customHeight="1" outlineLevel="3" spans="1:7">
      <c r="A632" s="30" t="s">
        <v>948</v>
      </c>
      <c r="B632" s="31"/>
      <c r="C632" s="31"/>
      <c r="D632" s="32">
        <v>10756.42</v>
      </c>
      <c r="E632" s="32">
        <v>10756.42</v>
      </c>
      <c r="F632" s="31"/>
      <c r="G632" s="31"/>
    </row>
    <row r="633" s="11" customFormat="1" ht="37" customHeight="1" outlineLevel="3" spans="1:7">
      <c r="A633" s="30" t="s">
        <v>949</v>
      </c>
      <c r="B633" s="31"/>
      <c r="C633" s="31"/>
      <c r="D633" s="32">
        <v>3772.3</v>
      </c>
      <c r="E633" s="32">
        <v>3772.3</v>
      </c>
      <c r="F633" s="31"/>
      <c r="G633" s="31"/>
    </row>
    <row r="634" s="11" customFormat="1" ht="37" customHeight="1" outlineLevel="3" spans="1:7">
      <c r="A634" s="30" t="s">
        <v>950</v>
      </c>
      <c r="B634" s="31"/>
      <c r="C634" s="31"/>
      <c r="D634" s="32">
        <v>3772.3</v>
      </c>
      <c r="E634" s="32">
        <v>3772.3</v>
      </c>
      <c r="F634" s="31"/>
      <c r="G634" s="31"/>
    </row>
    <row r="635" s="11" customFormat="1" ht="37" customHeight="1" outlineLevel="3" spans="1:7">
      <c r="A635" s="30" t="s">
        <v>951</v>
      </c>
      <c r="B635" s="31"/>
      <c r="C635" s="31"/>
      <c r="D635" s="32">
        <v>12574.32</v>
      </c>
      <c r="E635" s="32">
        <v>12574.32</v>
      </c>
      <c r="F635" s="31"/>
      <c r="G635" s="31"/>
    </row>
    <row r="636" s="11" customFormat="1" ht="37" customHeight="1" outlineLevel="3" spans="1:7">
      <c r="A636" s="30" t="s">
        <v>952</v>
      </c>
      <c r="B636" s="31"/>
      <c r="C636" s="31"/>
      <c r="D636" s="32">
        <v>8777.34</v>
      </c>
      <c r="E636" s="32">
        <v>8777.34</v>
      </c>
      <c r="F636" s="31"/>
      <c r="G636" s="31"/>
    </row>
    <row r="637" s="11" customFormat="1" ht="37" customHeight="1" outlineLevel="3" spans="1:7">
      <c r="A637" s="30" t="s">
        <v>953</v>
      </c>
      <c r="B637" s="31"/>
      <c r="C637" s="31"/>
      <c r="D637" s="32">
        <v>12153.24</v>
      </c>
      <c r="E637" s="32">
        <v>12153.24</v>
      </c>
      <c r="F637" s="31"/>
      <c r="G637" s="31"/>
    </row>
    <row r="638" s="11" customFormat="1" ht="37" customHeight="1" outlineLevel="3" spans="1:7">
      <c r="A638" s="30" t="s">
        <v>954</v>
      </c>
      <c r="B638" s="31"/>
      <c r="C638" s="31"/>
      <c r="D638" s="32">
        <v>3772.3</v>
      </c>
      <c r="E638" s="32">
        <v>3772.3</v>
      </c>
      <c r="F638" s="31"/>
      <c r="G638" s="31"/>
    </row>
    <row r="639" s="11" customFormat="1" ht="37" customHeight="1" outlineLevel="3" spans="1:7">
      <c r="A639" s="30" t="s">
        <v>955</v>
      </c>
      <c r="B639" s="31"/>
      <c r="C639" s="31"/>
      <c r="D639" s="32">
        <v>12574.32</v>
      </c>
      <c r="E639" s="32">
        <v>12574.32</v>
      </c>
      <c r="F639" s="31"/>
      <c r="G639" s="31"/>
    </row>
    <row r="640" s="11" customFormat="1" ht="37" customHeight="1" outlineLevel="3" spans="1:7">
      <c r="A640" s="30" t="s">
        <v>956</v>
      </c>
      <c r="B640" s="31"/>
      <c r="C640" s="31"/>
      <c r="D640" s="32">
        <v>8987.88</v>
      </c>
      <c r="E640" s="32">
        <v>8987.88</v>
      </c>
      <c r="F640" s="31"/>
      <c r="G640" s="31"/>
    </row>
    <row r="641" s="11" customFormat="1" ht="37" customHeight="1" outlineLevel="3" spans="1:7">
      <c r="A641" s="30" t="s">
        <v>957</v>
      </c>
      <c r="B641" s="31"/>
      <c r="C641" s="31"/>
      <c r="D641" s="32">
        <v>3772.3</v>
      </c>
      <c r="E641" s="32">
        <v>3772.3</v>
      </c>
      <c r="F641" s="31"/>
      <c r="G641" s="31"/>
    </row>
    <row r="642" s="11" customFormat="1" ht="37" customHeight="1" outlineLevel="3" spans="1:7">
      <c r="A642" s="30" t="s">
        <v>958</v>
      </c>
      <c r="B642" s="31"/>
      <c r="C642" s="31"/>
      <c r="D642" s="32">
        <v>12574.32</v>
      </c>
      <c r="E642" s="32">
        <v>12574.32</v>
      </c>
      <c r="F642" s="31"/>
      <c r="G642" s="31"/>
    </row>
    <row r="643" s="11" customFormat="1" ht="37" customHeight="1" outlineLevel="3" spans="1:7">
      <c r="A643" s="30" t="s">
        <v>959</v>
      </c>
      <c r="B643" s="31"/>
      <c r="C643" s="31"/>
      <c r="D643" s="32">
        <v>10570.56</v>
      </c>
      <c r="E643" s="32">
        <v>10570.56</v>
      </c>
      <c r="F643" s="31"/>
      <c r="G643" s="31"/>
    </row>
    <row r="644" s="11" customFormat="1" ht="37" customHeight="1" outlineLevel="3" spans="1:7">
      <c r="A644" s="30" t="s">
        <v>960</v>
      </c>
      <c r="B644" s="31"/>
      <c r="C644" s="31"/>
      <c r="D644" s="32">
        <v>3772.3</v>
      </c>
      <c r="E644" s="32">
        <v>3772.3</v>
      </c>
      <c r="F644" s="31"/>
      <c r="G644" s="31"/>
    </row>
    <row r="645" s="11" customFormat="1" ht="37" customHeight="1" outlineLevel="3" spans="1:7">
      <c r="A645" s="30" t="s">
        <v>961</v>
      </c>
      <c r="B645" s="31"/>
      <c r="C645" s="31"/>
      <c r="D645" s="32">
        <v>12153.24</v>
      </c>
      <c r="E645" s="31"/>
      <c r="F645" s="32">
        <v>12153.24</v>
      </c>
      <c r="G645" s="31"/>
    </row>
    <row r="646" s="11" customFormat="1" ht="37" customHeight="1" outlineLevel="3" spans="1:7">
      <c r="A646" s="30" t="s">
        <v>962</v>
      </c>
      <c r="B646" s="31"/>
      <c r="C646" s="31"/>
      <c r="D646" s="32">
        <v>3772.3</v>
      </c>
      <c r="E646" s="32">
        <v>3772.3</v>
      </c>
      <c r="F646" s="31"/>
      <c r="G646" s="31"/>
    </row>
    <row r="647" s="11" customFormat="1" ht="37" customHeight="1" outlineLevel="3" spans="1:7">
      <c r="A647" s="30" t="s">
        <v>963</v>
      </c>
      <c r="B647" s="31"/>
      <c r="C647" s="31"/>
      <c r="D647" s="32">
        <v>3772.3</v>
      </c>
      <c r="E647" s="32">
        <v>3772.3</v>
      </c>
      <c r="F647" s="31"/>
      <c r="G647" s="31"/>
    </row>
    <row r="648" s="11" customFormat="1" ht="37" customHeight="1" outlineLevel="3" spans="1:7">
      <c r="A648" s="30" t="s">
        <v>964</v>
      </c>
      <c r="B648" s="31"/>
      <c r="C648" s="31"/>
      <c r="D648" s="32">
        <v>3772.3</v>
      </c>
      <c r="E648" s="32">
        <v>3772.3</v>
      </c>
      <c r="F648" s="31"/>
      <c r="G648" s="31"/>
    </row>
    <row r="649" s="11" customFormat="1" ht="37" customHeight="1" outlineLevel="3" spans="1:7">
      <c r="A649" s="30" t="s">
        <v>965</v>
      </c>
      <c r="B649" s="31"/>
      <c r="C649" s="31"/>
      <c r="D649" s="32">
        <v>12574.32</v>
      </c>
      <c r="E649" s="31"/>
      <c r="F649" s="32">
        <v>12574.32</v>
      </c>
      <c r="G649" s="31"/>
    </row>
    <row r="650" s="11" customFormat="1" ht="37" customHeight="1" outlineLevel="3" spans="1:7">
      <c r="A650" s="30" t="s">
        <v>966</v>
      </c>
      <c r="B650" s="31"/>
      <c r="C650" s="31"/>
      <c r="D650" s="32">
        <v>3772.3</v>
      </c>
      <c r="E650" s="32">
        <v>3772.3</v>
      </c>
      <c r="F650" s="31"/>
      <c r="G650" s="31"/>
    </row>
    <row r="651" s="11" customFormat="1" ht="37" customHeight="1" outlineLevel="3" spans="1:7">
      <c r="A651" s="30" t="s">
        <v>967</v>
      </c>
      <c r="B651" s="31"/>
      <c r="C651" s="31"/>
      <c r="D651" s="32">
        <v>3772.3</v>
      </c>
      <c r="E651" s="32">
        <v>3772.3</v>
      </c>
      <c r="F651" s="31"/>
      <c r="G651" s="31"/>
    </row>
    <row r="652" s="11" customFormat="1" ht="37" customHeight="1" outlineLevel="3" spans="1:7">
      <c r="A652" s="30" t="s">
        <v>968</v>
      </c>
      <c r="B652" s="31"/>
      <c r="C652" s="31"/>
      <c r="D652" s="32">
        <v>3772.3</v>
      </c>
      <c r="E652" s="32">
        <v>3772.3</v>
      </c>
      <c r="F652" s="31"/>
      <c r="G652" s="31"/>
    </row>
    <row r="653" s="11" customFormat="1" ht="37" customHeight="1" outlineLevel="3" spans="1:7">
      <c r="A653" s="30" t="s">
        <v>969</v>
      </c>
      <c r="B653" s="31"/>
      <c r="C653" s="31"/>
      <c r="D653" s="32">
        <v>3772.3</v>
      </c>
      <c r="E653" s="32">
        <v>3772.3</v>
      </c>
      <c r="F653" s="31"/>
      <c r="G653" s="31"/>
    </row>
    <row r="654" s="11" customFormat="1" ht="37" customHeight="1" outlineLevel="3" spans="1:7">
      <c r="A654" s="30" t="s">
        <v>970</v>
      </c>
      <c r="B654" s="31"/>
      <c r="C654" s="31"/>
      <c r="D654" s="32">
        <v>3772.3</v>
      </c>
      <c r="E654" s="32">
        <v>3772.3</v>
      </c>
      <c r="F654" s="31"/>
      <c r="G654" s="31"/>
    </row>
    <row r="655" s="11" customFormat="1" ht="37" customHeight="1" outlineLevel="3" spans="1:7">
      <c r="A655" s="30" t="s">
        <v>971</v>
      </c>
      <c r="B655" s="31"/>
      <c r="C655" s="31"/>
      <c r="D655" s="32">
        <v>10802.88</v>
      </c>
      <c r="E655" s="31"/>
      <c r="F655" s="32">
        <v>10802.88</v>
      </c>
      <c r="G655" s="31"/>
    </row>
    <row r="656" s="11" customFormat="1" ht="37" customHeight="1" outlineLevel="3" spans="1:7">
      <c r="A656" s="30" t="s">
        <v>972</v>
      </c>
      <c r="B656" s="31"/>
      <c r="C656" s="31"/>
      <c r="D656" s="32">
        <v>10802.88</v>
      </c>
      <c r="E656" s="31"/>
      <c r="F656" s="32">
        <v>10802.88</v>
      </c>
      <c r="G656" s="31"/>
    </row>
    <row r="657" s="11" customFormat="1" ht="37" customHeight="1" outlineLevel="3" spans="1:7">
      <c r="A657" s="30" t="s">
        <v>973</v>
      </c>
      <c r="B657" s="31"/>
      <c r="C657" s="31"/>
      <c r="D657" s="32">
        <v>7426.98</v>
      </c>
      <c r="E657" s="31"/>
      <c r="F657" s="32">
        <v>7426.98</v>
      </c>
      <c r="G657" s="31"/>
    </row>
    <row r="658" s="11" customFormat="1" ht="37" customHeight="1" outlineLevel="3" spans="1:7">
      <c r="A658" s="30" t="s">
        <v>974</v>
      </c>
      <c r="B658" s="31"/>
      <c r="C658" s="31"/>
      <c r="D658" s="32">
        <v>5266.4</v>
      </c>
      <c r="E658" s="32">
        <v>5266.4</v>
      </c>
      <c r="F658" s="31"/>
      <c r="G658" s="31"/>
    </row>
    <row r="659" s="11" customFormat="1" ht="37" customHeight="1" outlineLevel="3" spans="1:7">
      <c r="A659" s="30" t="s">
        <v>975</v>
      </c>
      <c r="B659" s="31"/>
      <c r="C659" s="31"/>
      <c r="D659" s="32">
        <v>12153.24</v>
      </c>
      <c r="E659" s="31"/>
      <c r="F659" s="32">
        <v>12153.24</v>
      </c>
      <c r="G659" s="31"/>
    </row>
    <row r="660" s="11" customFormat="1" ht="37" customHeight="1" outlineLevel="3" spans="1:7">
      <c r="A660" s="30" t="s">
        <v>976</v>
      </c>
      <c r="B660" s="31"/>
      <c r="C660" s="31"/>
      <c r="D660" s="32">
        <v>12153.24</v>
      </c>
      <c r="E660" s="31"/>
      <c r="F660" s="32">
        <v>12153.24</v>
      </c>
      <c r="G660" s="31"/>
    </row>
    <row r="661" s="11" customFormat="1" ht="37" customHeight="1" outlineLevel="3" spans="1:7">
      <c r="A661" s="30" t="s">
        <v>977</v>
      </c>
      <c r="B661" s="31"/>
      <c r="C661" s="31"/>
      <c r="D661" s="32">
        <v>2925.78</v>
      </c>
      <c r="E661" s="32">
        <v>2925.78</v>
      </c>
      <c r="F661" s="31"/>
      <c r="G661" s="31"/>
    </row>
    <row r="662" s="11" customFormat="1" ht="37" customHeight="1" outlineLevel="3" spans="1:7">
      <c r="A662" s="30" t="s">
        <v>978</v>
      </c>
      <c r="B662" s="31"/>
      <c r="C662" s="31"/>
      <c r="D662" s="32">
        <v>3772.3</v>
      </c>
      <c r="E662" s="32">
        <v>3772.3</v>
      </c>
      <c r="F662" s="31"/>
      <c r="G662" s="31"/>
    </row>
    <row r="663" s="11" customFormat="1" ht="37" customHeight="1" outlineLevel="3" spans="1:7">
      <c r="A663" s="30" t="s">
        <v>979</v>
      </c>
      <c r="B663" s="31"/>
      <c r="C663" s="31"/>
      <c r="D663" s="32">
        <v>3772.3</v>
      </c>
      <c r="E663" s="32">
        <v>3772.3</v>
      </c>
      <c r="F663" s="31"/>
      <c r="G663" s="31"/>
    </row>
    <row r="664" s="11" customFormat="1" ht="37" customHeight="1" outlineLevel="3" spans="1:7">
      <c r="A664" s="30" t="s">
        <v>980</v>
      </c>
      <c r="B664" s="31"/>
      <c r="C664" s="31"/>
      <c r="D664" s="32">
        <v>3772.3</v>
      </c>
      <c r="E664" s="32">
        <v>3772.3</v>
      </c>
      <c r="F664" s="31"/>
      <c r="G664" s="31"/>
    </row>
    <row r="665" s="11" customFormat="1" ht="37" customHeight="1" outlineLevel="3" spans="1:7">
      <c r="A665" s="30" t="s">
        <v>981</v>
      </c>
      <c r="B665" s="31"/>
      <c r="C665" s="31"/>
      <c r="D665" s="32">
        <v>12574.32</v>
      </c>
      <c r="E665" s="31"/>
      <c r="F665" s="32">
        <v>12574.32</v>
      </c>
      <c r="G665" s="31"/>
    </row>
    <row r="666" s="11" customFormat="1" ht="37" customHeight="1" outlineLevel="3" spans="1:7">
      <c r="A666" s="30" t="s">
        <v>982</v>
      </c>
      <c r="B666" s="31"/>
      <c r="C666" s="31"/>
      <c r="D666" s="32">
        <v>12574.32</v>
      </c>
      <c r="E666" s="31"/>
      <c r="F666" s="32">
        <v>12574.32</v>
      </c>
      <c r="G666" s="31"/>
    </row>
    <row r="667" s="11" customFormat="1" ht="37" customHeight="1" outlineLevel="3" spans="1:7">
      <c r="A667" s="30" t="s">
        <v>983</v>
      </c>
      <c r="B667" s="31"/>
      <c r="C667" s="31"/>
      <c r="D667" s="32">
        <v>12574.32</v>
      </c>
      <c r="E667" s="31"/>
      <c r="F667" s="32">
        <v>12574.32</v>
      </c>
      <c r="G667" s="31"/>
    </row>
    <row r="668" s="11" customFormat="1" ht="37" customHeight="1" outlineLevel="3" spans="1:7">
      <c r="A668" s="30" t="s">
        <v>984</v>
      </c>
      <c r="B668" s="31"/>
      <c r="C668" s="31"/>
      <c r="D668" s="32">
        <v>10802.88</v>
      </c>
      <c r="E668" s="31"/>
      <c r="F668" s="32">
        <v>10802.88</v>
      </c>
      <c r="G668" s="31"/>
    </row>
    <row r="669" s="11" customFormat="1" ht="37" customHeight="1" outlineLevel="3" spans="1:7">
      <c r="A669" s="30" t="s">
        <v>985</v>
      </c>
      <c r="B669" s="31"/>
      <c r="C669" s="31"/>
      <c r="D669" s="32">
        <v>10756.42</v>
      </c>
      <c r="E669" s="31"/>
      <c r="F669" s="32">
        <v>10756.42</v>
      </c>
      <c r="G669" s="31"/>
    </row>
    <row r="670" s="11" customFormat="1" ht="37" customHeight="1" outlineLevel="3" spans="1:7">
      <c r="A670" s="30" t="s">
        <v>986</v>
      </c>
      <c r="B670" s="31"/>
      <c r="C670" s="31"/>
      <c r="D670" s="32">
        <v>10059.46</v>
      </c>
      <c r="E670" s="31"/>
      <c r="F670" s="32">
        <v>10059.46</v>
      </c>
      <c r="G670" s="31"/>
    </row>
    <row r="671" s="11" customFormat="1" ht="37" customHeight="1" outlineLevel="3" spans="1:7">
      <c r="A671" s="30" t="s">
        <v>987</v>
      </c>
      <c r="B671" s="31"/>
      <c r="C671" s="31"/>
      <c r="D671" s="32">
        <v>3772.3</v>
      </c>
      <c r="E671" s="32">
        <v>3772.3</v>
      </c>
      <c r="F671" s="31"/>
      <c r="G671" s="31"/>
    </row>
    <row r="672" s="11" customFormat="1" ht="37" customHeight="1" outlineLevel="3" spans="1:7">
      <c r="A672" s="30" t="s">
        <v>988</v>
      </c>
      <c r="B672" s="31"/>
      <c r="C672" s="31"/>
      <c r="D672" s="32">
        <v>8102.16</v>
      </c>
      <c r="E672" s="31"/>
      <c r="F672" s="32">
        <v>8102.16</v>
      </c>
      <c r="G672" s="31"/>
    </row>
    <row r="673" s="11" customFormat="1" ht="37" customHeight="1" outlineLevel="3" spans="1:7">
      <c r="A673" s="30" t="s">
        <v>989</v>
      </c>
      <c r="B673" s="31"/>
      <c r="C673" s="31"/>
      <c r="D673" s="32">
        <v>3772.3</v>
      </c>
      <c r="E673" s="32">
        <v>3772.3</v>
      </c>
      <c r="F673" s="31"/>
      <c r="G673" s="31"/>
    </row>
    <row r="674" s="11" customFormat="1" ht="37" customHeight="1" outlineLevel="3" spans="1:7">
      <c r="A674" s="30" t="s">
        <v>990</v>
      </c>
      <c r="B674" s="31"/>
      <c r="C674" s="31"/>
      <c r="D674" s="32">
        <v>10245.31</v>
      </c>
      <c r="E674" s="31"/>
      <c r="F674" s="32">
        <v>10245.31</v>
      </c>
      <c r="G674" s="31"/>
    </row>
    <row r="675" s="11" customFormat="1" ht="37" customHeight="1" outlineLevel="3" spans="1:7">
      <c r="A675" s="30" t="s">
        <v>991</v>
      </c>
      <c r="B675" s="31"/>
      <c r="C675" s="31"/>
      <c r="D675" s="32">
        <v>12574.32</v>
      </c>
      <c r="E675" s="31"/>
      <c r="F675" s="32">
        <v>12574.32</v>
      </c>
      <c r="G675" s="31"/>
    </row>
    <row r="676" s="11" customFormat="1" ht="37" customHeight="1" outlineLevel="3" spans="1:7">
      <c r="A676" s="30" t="s">
        <v>992</v>
      </c>
      <c r="B676" s="31"/>
      <c r="C676" s="31"/>
      <c r="D676" s="32">
        <v>12574.32</v>
      </c>
      <c r="E676" s="32">
        <v>12574.32</v>
      </c>
      <c r="F676" s="31"/>
      <c r="G676" s="31"/>
    </row>
    <row r="677" s="11" customFormat="1" ht="37" customHeight="1" outlineLevel="3" spans="1:7">
      <c r="A677" s="30" t="s">
        <v>993</v>
      </c>
      <c r="B677" s="31"/>
      <c r="C677" s="31"/>
      <c r="D677" s="32">
        <v>10802.88</v>
      </c>
      <c r="E677" s="31"/>
      <c r="F677" s="32">
        <v>10802.88</v>
      </c>
      <c r="G677" s="31"/>
    </row>
    <row r="678" s="11" customFormat="1" ht="37" customHeight="1" outlineLevel="3" spans="1:7">
      <c r="A678" s="30" t="s">
        <v>994</v>
      </c>
      <c r="B678" s="31"/>
      <c r="C678" s="31"/>
      <c r="D678" s="32">
        <v>12574.32</v>
      </c>
      <c r="E678" s="31"/>
      <c r="F678" s="32">
        <v>12574.32</v>
      </c>
      <c r="G678" s="31"/>
    </row>
    <row r="679" s="11" customFormat="1" ht="37" customHeight="1" outlineLevel="3" spans="1:7">
      <c r="A679" s="30" t="s">
        <v>995</v>
      </c>
      <c r="B679" s="31"/>
      <c r="C679" s="31"/>
      <c r="D679" s="32">
        <v>3772.3</v>
      </c>
      <c r="E679" s="32">
        <v>3772.3</v>
      </c>
      <c r="F679" s="31"/>
      <c r="G679" s="31"/>
    </row>
    <row r="680" s="11" customFormat="1" ht="37" customHeight="1" outlineLevel="3" spans="1:7">
      <c r="A680" s="30" t="s">
        <v>996</v>
      </c>
      <c r="B680" s="31"/>
      <c r="C680" s="31"/>
      <c r="D680" s="32">
        <v>3772.3</v>
      </c>
      <c r="E680" s="32">
        <v>3772.3</v>
      </c>
      <c r="F680" s="31"/>
      <c r="G680" s="31"/>
    </row>
    <row r="681" s="11" customFormat="1" ht="37" customHeight="1" outlineLevel="3" spans="1:7">
      <c r="A681" s="30" t="s">
        <v>997</v>
      </c>
      <c r="B681" s="31"/>
      <c r="C681" s="31"/>
      <c r="D681" s="32">
        <v>12574.32</v>
      </c>
      <c r="E681" s="32">
        <v>12574.32</v>
      </c>
      <c r="F681" s="31"/>
      <c r="G681" s="31"/>
    </row>
    <row r="682" s="11" customFormat="1" ht="37" customHeight="1" outlineLevel="3" spans="1:7">
      <c r="A682" s="30" t="s">
        <v>998</v>
      </c>
      <c r="B682" s="31"/>
      <c r="C682" s="31"/>
      <c r="D682" s="32">
        <v>11703.12</v>
      </c>
      <c r="E682" s="31"/>
      <c r="F682" s="32">
        <v>11703.12</v>
      </c>
      <c r="G682" s="31"/>
    </row>
    <row r="683" s="11" customFormat="1" ht="37" customHeight="1" outlineLevel="3" spans="1:7">
      <c r="A683" s="30" t="s">
        <v>999</v>
      </c>
      <c r="B683" s="31"/>
      <c r="C683" s="31"/>
      <c r="D683" s="32">
        <v>3772.3</v>
      </c>
      <c r="E683" s="32">
        <v>3772.3</v>
      </c>
      <c r="F683" s="31"/>
      <c r="G683" s="31"/>
    </row>
    <row r="684" s="11" customFormat="1" ht="37" customHeight="1" outlineLevel="3" spans="1:7">
      <c r="A684" s="30" t="s">
        <v>1000</v>
      </c>
      <c r="B684" s="31"/>
      <c r="C684" s="31"/>
      <c r="D684" s="32">
        <v>3772.3</v>
      </c>
      <c r="E684" s="32">
        <v>3772.3</v>
      </c>
      <c r="F684" s="31"/>
      <c r="G684" s="31"/>
    </row>
    <row r="685" s="11" customFormat="1" ht="37" customHeight="1" outlineLevel="3" spans="1:7">
      <c r="A685" s="30" t="s">
        <v>1001</v>
      </c>
      <c r="B685" s="31"/>
      <c r="C685" s="31"/>
      <c r="D685" s="32">
        <v>9452.52</v>
      </c>
      <c r="E685" s="32">
        <v>9452.52</v>
      </c>
      <c r="F685" s="31"/>
      <c r="G685" s="31"/>
    </row>
    <row r="686" s="11" customFormat="1" ht="37" customHeight="1" outlineLevel="3" spans="1:7">
      <c r="A686" s="30" t="s">
        <v>1002</v>
      </c>
      <c r="B686" s="31"/>
      <c r="C686" s="31"/>
      <c r="D686" s="32">
        <v>10431.17</v>
      </c>
      <c r="E686" s="31"/>
      <c r="F686" s="32">
        <v>10431.17</v>
      </c>
      <c r="G686" s="31"/>
    </row>
    <row r="687" s="11" customFormat="1" ht="37" customHeight="1" outlineLevel="3" spans="1:7">
      <c r="A687" s="30" t="s">
        <v>1003</v>
      </c>
      <c r="B687" s="31"/>
      <c r="C687" s="31"/>
      <c r="D687" s="32">
        <v>11703.12</v>
      </c>
      <c r="E687" s="31"/>
      <c r="F687" s="32">
        <v>11703.12</v>
      </c>
      <c r="G687" s="31"/>
    </row>
    <row r="688" s="11" customFormat="1" ht="37" customHeight="1" outlineLevel="3" spans="1:7">
      <c r="A688" s="30" t="s">
        <v>1004</v>
      </c>
      <c r="B688" s="31"/>
      <c r="C688" s="31"/>
      <c r="D688" s="32">
        <v>11703.12</v>
      </c>
      <c r="E688" s="31"/>
      <c r="F688" s="32">
        <v>11703.12</v>
      </c>
      <c r="G688" s="31"/>
    </row>
    <row r="689" s="11" customFormat="1" ht="37" customHeight="1" outlineLevel="3" spans="1:7">
      <c r="A689" s="30" t="s">
        <v>1005</v>
      </c>
      <c r="B689" s="31"/>
      <c r="C689" s="31"/>
      <c r="D689" s="32">
        <v>7544.59</v>
      </c>
      <c r="E689" s="31"/>
      <c r="F689" s="32">
        <v>7544.59</v>
      </c>
      <c r="G689" s="31"/>
    </row>
    <row r="690" s="11" customFormat="1" ht="37" customHeight="1" outlineLevel="3" spans="1:7">
      <c r="A690" s="30" t="s">
        <v>1006</v>
      </c>
      <c r="B690" s="31"/>
      <c r="C690" s="31"/>
      <c r="D690" s="32">
        <v>5029.73</v>
      </c>
      <c r="E690" s="32">
        <v>5029.73</v>
      </c>
      <c r="F690" s="31"/>
      <c r="G690" s="31"/>
    </row>
    <row r="691" s="11" customFormat="1" ht="37" customHeight="1" outlineLevel="3" spans="1:7">
      <c r="A691" s="30" t="s">
        <v>1007</v>
      </c>
      <c r="B691" s="31"/>
      <c r="C691" s="31"/>
      <c r="D691" s="32">
        <v>10059.46</v>
      </c>
      <c r="E691" s="32">
        <v>10059.46</v>
      </c>
      <c r="F691" s="31"/>
      <c r="G691" s="31"/>
    </row>
    <row r="692" s="11" customFormat="1" ht="37" customHeight="1" outlineLevel="3" spans="1:7">
      <c r="A692" s="30" t="s">
        <v>1008</v>
      </c>
      <c r="B692" s="31"/>
      <c r="C692" s="31"/>
      <c r="D692" s="32">
        <v>10802.88</v>
      </c>
      <c r="E692" s="31"/>
      <c r="F692" s="32">
        <v>10802.88</v>
      </c>
      <c r="G692" s="31"/>
    </row>
    <row r="693" s="11" customFormat="1" ht="37" customHeight="1" outlineLevel="3" spans="1:7">
      <c r="A693" s="30" t="s">
        <v>1009</v>
      </c>
      <c r="B693" s="31"/>
      <c r="C693" s="31"/>
      <c r="D693" s="32">
        <v>3772.3</v>
      </c>
      <c r="E693" s="32">
        <v>3772.3</v>
      </c>
      <c r="F693" s="31"/>
      <c r="G693" s="31"/>
    </row>
    <row r="694" s="11" customFormat="1" ht="37" customHeight="1" outlineLevel="3" spans="1:7">
      <c r="A694" s="30" t="s">
        <v>1010</v>
      </c>
      <c r="B694" s="31"/>
      <c r="C694" s="31"/>
      <c r="D694" s="32">
        <v>3772.3</v>
      </c>
      <c r="E694" s="32">
        <v>3772.3</v>
      </c>
      <c r="F694" s="31"/>
      <c r="G694" s="31"/>
    </row>
    <row r="695" s="11" customFormat="1" ht="37" customHeight="1" outlineLevel="3" spans="1:7">
      <c r="A695" s="30" t="s">
        <v>1011</v>
      </c>
      <c r="B695" s="31"/>
      <c r="C695" s="31"/>
      <c r="D695" s="32">
        <v>3772.3</v>
      </c>
      <c r="E695" s="32">
        <v>3772.3</v>
      </c>
      <c r="F695" s="31"/>
      <c r="G695" s="31"/>
    </row>
    <row r="696" s="11" customFormat="1" ht="37" customHeight="1" outlineLevel="3" spans="1:7">
      <c r="A696" s="30" t="s">
        <v>1012</v>
      </c>
      <c r="B696" s="31"/>
      <c r="C696" s="31"/>
      <c r="D696" s="32">
        <v>3772.3</v>
      </c>
      <c r="E696" s="32">
        <v>3772.3</v>
      </c>
      <c r="F696" s="31"/>
      <c r="G696" s="31"/>
    </row>
    <row r="697" s="11" customFormat="1" ht="37" customHeight="1" outlineLevel="3" spans="1:7">
      <c r="A697" s="30" t="s">
        <v>1013</v>
      </c>
      <c r="B697" s="31"/>
      <c r="C697" s="31"/>
      <c r="D697" s="32">
        <v>3772.3</v>
      </c>
      <c r="E697" s="32">
        <v>3772.3</v>
      </c>
      <c r="F697" s="31"/>
      <c r="G697" s="31"/>
    </row>
    <row r="698" s="11" customFormat="1" ht="37" customHeight="1" outlineLevel="3" spans="1:7">
      <c r="A698" s="30" t="s">
        <v>1014</v>
      </c>
      <c r="B698" s="31"/>
      <c r="C698" s="31"/>
      <c r="D698" s="32">
        <v>3772.3</v>
      </c>
      <c r="E698" s="32">
        <v>3772.3</v>
      </c>
      <c r="F698" s="31"/>
      <c r="G698" s="31"/>
    </row>
    <row r="699" s="11" customFormat="1" ht="37" customHeight="1" outlineLevel="3" spans="1:7">
      <c r="A699" s="30" t="s">
        <v>1015</v>
      </c>
      <c r="B699" s="31"/>
      <c r="C699" s="31"/>
      <c r="D699" s="32">
        <v>10802.88</v>
      </c>
      <c r="E699" s="31"/>
      <c r="F699" s="32">
        <v>10802.88</v>
      </c>
      <c r="G699" s="31"/>
    </row>
    <row r="700" s="11" customFormat="1" ht="37" customHeight="1" outlineLevel="3" spans="1:7">
      <c r="A700" s="30" t="s">
        <v>1016</v>
      </c>
      <c r="B700" s="31"/>
      <c r="C700" s="31"/>
      <c r="D700" s="32">
        <v>12574.32</v>
      </c>
      <c r="E700" s="32">
        <v>12574.32</v>
      </c>
      <c r="F700" s="31"/>
      <c r="G700" s="31"/>
    </row>
    <row r="701" s="11" customFormat="1" ht="37" customHeight="1" outlineLevel="3" spans="1:7">
      <c r="A701" s="30" t="s">
        <v>1017</v>
      </c>
      <c r="B701" s="31"/>
      <c r="C701" s="31"/>
      <c r="D701" s="32">
        <v>3772.3</v>
      </c>
      <c r="E701" s="32">
        <v>3772.3</v>
      </c>
      <c r="F701" s="31"/>
      <c r="G701" s="31"/>
    </row>
    <row r="702" s="11" customFormat="1" ht="37" customHeight="1" outlineLevel="3" spans="1:7">
      <c r="A702" s="30" t="s">
        <v>1018</v>
      </c>
      <c r="B702" s="31"/>
      <c r="C702" s="31"/>
      <c r="D702" s="32">
        <v>3772.3</v>
      </c>
      <c r="E702" s="32">
        <v>3772.3</v>
      </c>
      <c r="F702" s="31"/>
      <c r="G702" s="31"/>
    </row>
    <row r="703" s="11" customFormat="1" ht="37" customHeight="1" outlineLevel="3" spans="1:7">
      <c r="A703" s="30" t="s">
        <v>1019</v>
      </c>
      <c r="B703" s="31"/>
      <c r="C703" s="31"/>
      <c r="D703" s="32">
        <v>11703.12</v>
      </c>
      <c r="E703" s="31"/>
      <c r="F703" s="32">
        <v>11703.12</v>
      </c>
      <c r="G703" s="31"/>
    </row>
    <row r="704" s="11" customFormat="1" ht="37" customHeight="1" outlineLevel="3" spans="1:7">
      <c r="A704" s="30" t="s">
        <v>1020</v>
      </c>
      <c r="B704" s="31"/>
      <c r="C704" s="31"/>
      <c r="D704" s="32">
        <v>12487.2</v>
      </c>
      <c r="E704" s="31"/>
      <c r="F704" s="32">
        <v>12487.2</v>
      </c>
      <c r="G704" s="31"/>
    </row>
    <row r="705" s="11" customFormat="1" ht="37" customHeight="1" outlineLevel="3" spans="1:7">
      <c r="A705" s="30" t="s">
        <v>1021</v>
      </c>
      <c r="B705" s="31"/>
      <c r="C705" s="31"/>
      <c r="D705" s="32">
        <v>3772.3</v>
      </c>
      <c r="E705" s="32">
        <v>3772.3</v>
      </c>
      <c r="F705" s="31"/>
      <c r="G705" s="31"/>
    </row>
    <row r="706" s="11" customFormat="1" ht="37" customHeight="1" outlineLevel="3" spans="1:7">
      <c r="A706" s="30" t="s">
        <v>1022</v>
      </c>
      <c r="B706" s="31"/>
      <c r="C706" s="31"/>
      <c r="D706" s="32">
        <v>3772.3</v>
      </c>
      <c r="E706" s="32">
        <v>3772.3</v>
      </c>
      <c r="F706" s="31"/>
      <c r="G706" s="31"/>
    </row>
    <row r="707" s="11" customFormat="1" ht="37" customHeight="1" outlineLevel="3" spans="1:7">
      <c r="A707" s="30" t="s">
        <v>1023</v>
      </c>
      <c r="B707" s="31"/>
      <c r="C707" s="31"/>
      <c r="D707" s="32">
        <v>2925.78</v>
      </c>
      <c r="E707" s="32">
        <v>2925.78</v>
      </c>
      <c r="F707" s="31"/>
      <c r="G707" s="31"/>
    </row>
    <row r="708" s="11" customFormat="1" ht="37" customHeight="1" outlineLevel="3" spans="1:7">
      <c r="A708" s="30" t="s">
        <v>1024</v>
      </c>
      <c r="B708" s="31"/>
      <c r="C708" s="31"/>
      <c r="D708" s="32">
        <v>11703.12</v>
      </c>
      <c r="E708" s="31"/>
      <c r="F708" s="32">
        <v>11703.12</v>
      </c>
      <c r="G708" s="31"/>
    </row>
    <row r="709" s="11" customFormat="1" ht="37" customHeight="1" outlineLevel="3" spans="1:7">
      <c r="A709" s="30" t="s">
        <v>1025</v>
      </c>
      <c r="B709" s="31"/>
      <c r="C709" s="31"/>
      <c r="D709" s="32">
        <v>3772.3</v>
      </c>
      <c r="E709" s="32">
        <v>3772.3</v>
      </c>
      <c r="F709" s="31"/>
      <c r="G709" s="31"/>
    </row>
    <row r="710" s="11" customFormat="1" ht="37" customHeight="1" outlineLevel="3" spans="1:7">
      <c r="A710" s="30" t="s">
        <v>1026</v>
      </c>
      <c r="B710" s="31"/>
      <c r="C710" s="31"/>
      <c r="D710" s="32">
        <v>12574.32</v>
      </c>
      <c r="E710" s="31"/>
      <c r="F710" s="32">
        <v>12574.32</v>
      </c>
      <c r="G710" s="31"/>
    </row>
    <row r="711" s="11" customFormat="1" ht="37" customHeight="1" outlineLevel="3" spans="1:7">
      <c r="A711" s="30" t="s">
        <v>1027</v>
      </c>
      <c r="B711" s="31"/>
      <c r="C711" s="31"/>
      <c r="D711" s="32">
        <v>2925.78</v>
      </c>
      <c r="E711" s="32">
        <v>2925.78</v>
      </c>
      <c r="F711" s="31"/>
      <c r="G711" s="31"/>
    </row>
    <row r="712" s="11" customFormat="1" ht="37" customHeight="1" outlineLevel="3" spans="1:7">
      <c r="A712" s="30" t="s">
        <v>1028</v>
      </c>
      <c r="B712" s="31"/>
      <c r="C712" s="31"/>
      <c r="D712" s="32">
        <v>2925.78</v>
      </c>
      <c r="E712" s="32">
        <v>2925.78</v>
      </c>
      <c r="F712" s="31"/>
      <c r="G712" s="31"/>
    </row>
    <row r="713" s="11" customFormat="1" ht="37" customHeight="1" outlineLevel="3" spans="1:7">
      <c r="A713" s="30" t="s">
        <v>1029</v>
      </c>
      <c r="B713" s="31"/>
      <c r="C713" s="31"/>
      <c r="D713" s="32">
        <v>3772.3</v>
      </c>
      <c r="E713" s="32">
        <v>3772.3</v>
      </c>
      <c r="F713" s="31"/>
      <c r="G713" s="31"/>
    </row>
    <row r="714" s="11" customFormat="1" ht="37" customHeight="1" outlineLevel="3" spans="1:7">
      <c r="A714" s="30" t="s">
        <v>1030</v>
      </c>
      <c r="B714" s="31"/>
      <c r="C714" s="31"/>
      <c r="D714" s="32">
        <v>3772.3</v>
      </c>
      <c r="E714" s="32">
        <v>3772.3</v>
      </c>
      <c r="F714" s="31"/>
      <c r="G714" s="31"/>
    </row>
    <row r="715" s="11" customFormat="1" ht="37" customHeight="1" outlineLevel="3" spans="1:7">
      <c r="A715" s="30" t="s">
        <v>1031</v>
      </c>
      <c r="B715" s="31"/>
      <c r="C715" s="31"/>
      <c r="D715" s="32">
        <v>10756.42</v>
      </c>
      <c r="E715" s="31"/>
      <c r="F715" s="32">
        <v>10756.42</v>
      </c>
      <c r="G715" s="31"/>
    </row>
    <row r="716" s="11" customFormat="1" ht="37" customHeight="1" outlineLevel="3" spans="1:7">
      <c r="A716" s="30" t="s">
        <v>1032</v>
      </c>
      <c r="B716" s="31"/>
      <c r="C716" s="31"/>
      <c r="D716" s="32">
        <v>11790.24</v>
      </c>
      <c r="E716" s="31"/>
      <c r="F716" s="32">
        <v>11790.24</v>
      </c>
      <c r="G716" s="31"/>
    </row>
    <row r="717" s="11" customFormat="1" ht="37" customHeight="1" outlineLevel="3" spans="1:7">
      <c r="A717" s="30" t="s">
        <v>1033</v>
      </c>
      <c r="B717" s="31"/>
      <c r="C717" s="31"/>
      <c r="D717" s="32">
        <v>12574.32</v>
      </c>
      <c r="E717" s="31"/>
      <c r="F717" s="32">
        <v>12574.32</v>
      </c>
      <c r="G717" s="31"/>
    </row>
    <row r="718" s="11" customFormat="1" ht="37" customHeight="1" outlineLevel="3" spans="1:7">
      <c r="A718" s="30" t="s">
        <v>1034</v>
      </c>
      <c r="B718" s="31"/>
      <c r="C718" s="31"/>
      <c r="D718" s="32">
        <v>3772.3</v>
      </c>
      <c r="E718" s="32">
        <v>3772.3</v>
      </c>
      <c r="F718" s="31"/>
      <c r="G718" s="31"/>
    </row>
    <row r="719" s="11" customFormat="1" ht="37" customHeight="1" outlineLevel="3" spans="1:7">
      <c r="A719" s="30" t="s">
        <v>1035</v>
      </c>
      <c r="B719" s="31"/>
      <c r="C719" s="31"/>
      <c r="D719" s="32">
        <v>3772.3</v>
      </c>
      <c r="E719" s="32">
        <v>3772.3</v>
      </c>
      <c r="F719" s="31"/>
      <c r="G719" s="31"/>
    </row>
    <row r="720" s="11" customFormat="1" ht="37" customHeight="1" outlineLevel="3" spans="1:7">
      <c r="A720" s="30" t="s">
        <v>1036</v>
      </c>
      <c r="B720" s="31"/>
      <c r="C720" s="31"/>
      <c r="D720" s="32">
        <v>3772.3</v>
      </c>
      <c r="E720" s="32">
        <v>3772.3</v>
      </c>
      <c r="F720" s="31"/>
      <c r="G720" s="31"/>
    </row>
    <row r="721" s="11" customFormat="1" ht="37" customHeight="1" outlineLevel="3" spans="1:7">
      <c r="A721" s="30" t="s">
        <v>1037</v>
      </c>
      <c r="B721" s="31"/>
      <c r="C721" s="31"/>
      <c r="D721" s="32">
        <v>3510.94</v>
      </c>
      <c r="E721" s="32">
        <v>3510.94</v>
      </c>
      <c r="F721" s="31"/>
      <c r="G721" s="31"/>
    </row>
    <row r="722" s="11" customFormat="1" ht="37" customHeight="1" outlineLevel="3" spans="1:7">
      <c r="A722" s="30" t="s">
        <v>1038</v>
      </c>
      <c r="B722" s="31"/>
      <c r="C722" s="31"/>
      <c r="D722" s="32">
        <v>3772.3</v>
      </c>
      <c r="E722" s="32">
        <v>3772.3</v>
      </c>
      <c r="F722" s="31"/>
      <c r="G722" s="31"/>
    </row>
    <row r="723" s="11" customFormat="1" ht="37" customHeight="1" outlineLevel="3" spans="1:7">
      <c r="A723" s="30" t="s">
        <v>1039</v>
      </c>
      <c r="B723" s="31"/>
      <c r="C723" s="31"/>
      <c r="D723" s="32">
        <v>3510.94</v>
      </c>
      <c r="E723" s="32">
        <v>3510.94</v>
      </c>
      <c r="F723" s="31"/>
      <c r="G723" s="31"/>
    </row>
    <row r="724" s="11" customFormat="1" ht="37" customHeight="1" outlineLevel="3" spans="1:7">
      <c r="A724" s="30" t="s">
        <v>1040</v>
      </c>
      <c r="B724" s="31"/>
      <c r="C724" s="31"/>
      <c r="D724" s="32">
        <v>3772.3</v>
      </c>
      <c r="E724" s="32">
        <v>3772.3</v>
      </c>
      <c r="F724" s="31"/>
      <c r="G724" s="31"/>
    </row>
    <row r="725" s="11" customFormat="1" ht="37" customHeight="1" outlineLevel="3" spans="1:7">
      <c r="A725" s="30" t="s">
        <v>1041</v>
      </c>
      <c r="B725" s="31"/>
      <c r="C725" s="31"/>
      <c r="D725" s="32">
        <v>3510.94</v>
      </c>
      <c r="E725" s="32">
        <v>3510.94</v>
      </c>
      <c r="F725" s="31"/>
      <c r="G725" s="31"/>
    </row>
    <row r="726" s="11" customFormat="1" ht="37" customHeight="1" outlineLevel="3" spans="1:7">
      <c r="A726" s="30" t="s">
        <v>1042</v>
      </c>
      <c r="B726" s="31"/>
      <c r="C726" s="31"/>
      <c r="D726" s="32">
        <v>3510.94</v>
      </c>
      <c r="E726" s="32">
        <v>3510.94</v>
      </c>
      <c r="F726" s="31"/>
      <c r="G726" s="31"/>
    </row>
    <row r="727" s="11" customFormat="1" ht="37" customHeight="1" outlineLevel="3" spans="1:7">
      <c r="A727" s="30" t="s">
        <v>1043</v>
      </c>
      <c r="B727" s="31"/>
      <c r="C727" s="31"/>
      <c r="D727" s="32">
        <v>3510.94</v>
      </c>
      <c r="E727" s="32">
        <v>3510.94</v>
      </c>
      <c r="F727" s="31"/>
      <c r="G727" s="31"/>
    </row>
    <row r="728" s="11" customFormat="1" ht="37" customHeight="1" outlineLevel="3" spans="1:7">
      <c r="A728" s="30" t="s">
        <v>1044</v>
      </c>
      <c r="B728" s="31"/>
      <c r="C728" s="31"/>
      <c r="D728" s="32">
        <v>11703.12</v>
      </c>
      <c r="E728" s="31"/>
      <c r="F728" s="32">
        <v>11703.12</v>
      </c>
      <c r="G728" s="31"/>
    </row>
    <row r="729" s="11" customFormat="1" ht="37" customHeight="1" outlineLevel="3" spans="1:7">
      <c r="A729" s="30" t="s">
        <v>1045</v>
      </c>
      <c r="B729" s="31"/>
      <c r="C729" s="31"/>
      <c r="D729" s="32">
        <v>11703.12</v>
      </c>
      <c r="E729" s="31"/>
      <c r="F729" s="32">
        <v>11703.12</v>
      </c>
      <c r="G729" s="31"/>
    </row>
    <row r="730" s="11" customFormat="1" ht="37" customHeight="1" outlineLevel="3" spans="1:7">
      <c r="A730" s="30" t="s">
        <v>1046</v>
      </c>
      <c r="B730" s="31"/>
      <c r="C730" s="31"/>
      <c r="D730" s="32">
        <v>2925.78</v>
      </c>
      <c r="E730" s="32">
        <v>2925.78</v>
      </c>
      <c r="F730" s="31"/>
      <c r="G730" s="31"/>
    </row>
    <row r="731" s="11" customFormat="1" ht="37" customHeight="1" outlineLevel="3" spans="1:7">
      <c r="A731" s="30" t="s">
        <v>1047</v>
      </c>
      <c r="B731" s="31"/>
      <c r="C731" s="31"/>
      <c r="D731" s="32">
        <v>10431.17</v>
      </c>
      <c r="E731" s="31"/>
      <c r="F731" s="32">
        <v>10431.17</v>
      </c>
      <c r="G731" s="31"/>
    </row>
    <row r="732" s="11" customFormat="1" ht="37" customHeight="1" outlineLevel="3" spans="1:7">
      <c r="A732" s="30" t="s">
        <v>1048</v>
      </c>
      <c r="B732" s="31"/>
      <c r="C732" s="31"/>
      <c r="D732" s="32">
        <v>3510.94</v>
      </c>
      <c r="E732" s="32">
        <v>3510.94</v>
      </c>
      <c r="F732" s="31"/>
      <c r="G732" s="31"/>
    </row>
    <row r="733" s="11" customFormat="1" ht="37" customHeight="1" outlineLevel="3" spans="1:7">
      <c r="A733" s="30" t="s">
        <v>1049</v>
      </c>
      <c r="B733" s="31"/>
      <c r="C733" s="31"/>
      <c r="D733" s="32">
        <v>3772.3</v>
      </c>
      <c r="E733" s="32">
        <v>3772.3</v>
      </c>
      <c r="F733" s="31"/>
      <c r="G733" s="31"/>
    </row>
    <row r="734" s="11" customFormat="1" ht="37" customHeight="1" outlineLevel="3" spans="1:7">
      <c r="A734" s="30" t="s">
        <v>1050</v>
      </c>
      <c r="B734" s="31"/>
      <c r="C734" s="31"/>
      <c r="D734" s="32">
        <v>12574.32</v>
      </c>
      <c r="E734" s="31"/>
      <c r="F734" s="32">
        <v>12574.32</v>
      </c>
      <c r="G734" s="31"/>
    </row>
    <row r="735" s="11" customFormat="1" ht="37" customHeight="1" outlineLevel="3" spans="1:7">
      <c r="A735" s="30" t="s">
        <v>1051</v>
      </c>
      <c r="B735" s="31"/>
      <c r="C735" s="31"/>
      <c r="D735" s="32">
        <v>11703.12</v>
      </c>
      <c r="E735" s="31"/>
      <c r="F735" s="32">
        <v>11703.12</v>
      </c>
      <c r="G735" s="31"/>
    </row>
    <row r="736" s="11" customFormat="1" ht="37" customHeight="1" outlineLevel="3" spans="1:7">
      <c r="A736" s="30" t="s">
        <v>1052</v>
      </c>
      <c r="B736" s="31"/>
      <c r="C736" s="31"/>
      <c r="D736" s="32">
        <v>3510.94</v>
      </c>
      <c r="E736" s="32">
        <v>3510.94</v>
      </c>
      <c r="F736" s="31"/>
      <c r="G736" s="31"/>
    </row>
    <row r="737" s="11" customFormat="1" ht="37" customHeight="1" outlineLevel="3" spans="1:7">
      <c r="A737" s="30" t="s">
        <v>1053</v>
      </c>
      <c r="B737" s="31"/>
      <c r="C737" s="31"/>
      <c r="D737" s="32">
        <v>3510.94</v>
      </c>
      <c r="E737" s="32">
        <v>3510.94</v>
      </c>
      <c r="F737" s="31"/>
      <c r="G737" s="31"/>
    </row>
    <row r="738" s="11" customFormat="1" ht="37" customHeight="1" outlineLevel="3" spans="1:7">
      <c r="A738" s="30" t="s">
        <v>1054</v>
      </c>
      <c r="B738" s="31"/>
      <c r="C738" s="31"/>
      <c r="D738" s="32">
        <v>3510.94</v>
      </c>
      <c r="E738" s="32">
        <v>3510.94</v>
      </c>
      <c r="F738" s="31"/>
      <c r="G738" s="31"/>
    </row>
    <row r="739" s="11" customFormat="1" ht="37" customHeight="1" outlineLevel="3" spans="1:7">
      <c r="A739" s="30" t="s">
        <v>1055</v>
      </c>
      <c r="B739" s="31"/>
      <c r="C739" s="31"/>
      <c r="D739" s="32">
        <v>3772.3</v>
      </c>
      <c r="E739" s="32">
        <v>3772.3</v>
      </c>
      <c r="F739" s="31"/>
      <c r="G739" s="31"/>
    </row>
    <row r="740" s="11" customFormat="1" ht="37" customHeight="1" outlineLevel="3" spans="1:7">
      <c r="A740" s="30" t="s">
        <v>1056</v>
      </c>
      <c r="B740" s="31"/>
      <c r="C740" s="31"/>
      <c r="D740" s="32">
        <v>3510.94</v>
      </c>
      <c r="E740" s="32">
        <v>3510.94</v>
      </c>
      <c r="F740" s="31"/>
      <c r="G740" s="31"/>
    </row>
    <row r="741" s="11" customFormat="1" ht="37" customHeight="1" outlineLevel="3" spans="1:7">
      <c r="A741" s="30" t="s">
        <v>1057</v>
      </c>
      <c r="B741" s="31"/>
      <c r="C741" s="31"/>
      <c r="D741" s="32">
        <v>3510.94</v>
      </c>
      <c r="E741" s="32">
        <v>3510.94</v>
      </c>
      <c r="F741" s="31"/>
      <c r="G741" s="31"/>
    </row>
    <row r="742" s="11" customFormat="1" ht="37" customHeight="1" outlineLevel="3" spans="1:7">
      <c r="A742" s="30" t="s">
        <v>1058</v>
      </c>
      <c r="B742" s="31"/>
      <c r="C742" s="31"/>
      <c r="D742" s="32">
        <v>3510.94</v>
      </c>
      <c r="E742" s="32">
        <v>3510.94</v>
      </c>
      <c r="F742" s="31"/>
      <c r="G742" s="31"/>
    </row>
    <row r="743" s="11" customFormat="1" ht="37" customHeight="1" outlineLevel="3" spans="1:7">
      <c r="A743" s="30" t="s">
        <v>1059</v>
      </c>
      <c r="B743" s="31"/>
      <c r="C743" s="31"/>
      <c r="D743" s="32">
        <v>2925.78</v>
      </c>
      <c r="E743" s="32">
        <v>2925.78</v>
      </c>
      <c r="F743" s="31"/>
      <c r="G743" s="31"/>
    </row>
    <row r="744" s="11" customFormat="1" ht="37" customHeight="1" outlineLevel="3" spans="1:7">
      <c r="A744" s="30" t="s">
        <v>1060</v>
      </c>
      <c r="B744" s="31"/>
      <c r="C744" s="31"/>
      <c r="D744" s="32">
        <v>2925.78</v>
      </c>
      <c r="E744" s="32">
        <v>2925.78</v>
      </c>
      <c r="F744" s="31"/>
      <c r="G744" s="31"/>
    </row>
    <row r="745" s="11" customFormat="1" ht="37" customHeight="1" outlineLevel="3" spans="1:7">
      <c r="A745" s="30" t="s">
        <v>1061</v>
      </c>
      <c r="B745" s="31"/>
      <c r="C745" s="31"/>
      <c r="D745" s="32">
        <v>11703.12</v>
      </c>
      <c r="E745" s="31"/>
      <c r="F745" s="32">
        <v>11703.12</v>
      </c>
      <c r="G745" s="31"/>
    </row>
    <row r="746" s="11" customFormat="1" ht="37" customHeight="1" outlineLevel="3" spans="1:7">
      <c r="A746" s="30" t="s">
        <v>1062</v>
      </c>
      <c r="B746" s="31"/>
      <c r="C746" s="31"/>
      <c r="D746" s="32">
        <v>3510.94</v>
      </c>
      <c r="E746" s="32">
        <v>3510.94</v>
      </c>
      <c r="F746" s="31"/>
      <c r="G746" s="31"/>
    </row>
    <row r="747" s="11" customFormat="1" ht="37" customHeight="1" outlineLevel="3" spans="1:7">
      <c r="A747" s="30" t="s">
        <v>1063</v>
      </c>
      <c r="B747" s="31"/>
      <c r="C747" s="31"/>
      <c r="D747" s="32">
        <v>3510.94</v>
      </c>
      <c r="E747" s="32">
        <v>3510.94</v>
      </c>
      <c r="F747" s="31"/>
      <c r="G747" s="31"/>
    </row>
    <row r="748" s="11" customFormat="1" ht="37" customHeight="1" outlineLevel="3" spans="1:7">
      <c r="A748" s="30" t="s">
        <v>1064</v>
      </c>
      <c r="B748" s="31"/>
      <c r="C748" s="31"/>
      <c r="D748" s="32">
        <v>3510.94</v>
      </c>
      <c r="E748" s="32">
        <v>3510.94</v>
      </c>
      <c r="F748" s="31"/>
      <c r="G748" s="31"/>
    </row>
    <row r="749" s="11" customFormat="1" ht="37" customHeight="1" outlineLevel="3" spans="1:7">
      <c r="A749" s="30" t="s">
        <v>1065</v>
      </c>
      <c r="B749" s="31"/>
      <c r="C749" s="31"/>
      <c r="D749" s="32">
        <v>3772.3</v>
      </c>
      <c r="E749" s="32">
        <v>3772.3</v>
      </c>
      <c r="F749" s="31"/>
      <c r="G749" s="31"/>
    </row>
    <row r="750" s="11" customFormat="1" ht="37" customHeight="1" outlineLevel="3" spans="1:7">
      <c r="A750" s="30" t="s">
        <v>1066</v>
      </c>
      <c r="B750" s="31"/>
      <c r="C750" s="31"/>
      <c r="D750" s="32">
        <v>8192.18</v>
      </c>
      <c r="E750" s="31"/>
      <c r="F750" s="32">
        <v>8192.18</v>
      </c>
      <c r="G750" s="31"/>
    </row>
    <row r="751" s="11" customFormat="1" ht="37" customHeight="1" outlineLevel="3" spans="1:7">
      <c r="A751" s="30" t="s">
        <v>1067</v>
      </c>
      <c r="B751" s="31"/>
      <c r="C751" s="31"/>
      <c r="D751" s="32">
        <v>11703.12</v>
      </c>
      <c r="E751" s="31"/>
      <c r="F751" s="32">
        <v>11703.12</v>
      </c>
      <c r="G751" s="31"/>
    </row>
    <row r="752" s="11" customFormat="1" ht="37" customHeight="1" outlineLevel="3" spans="1:7">
      <c r="A752" s="30" t="s">
        <v>1068</v>
      </c>
      <c r="B752" s="31"/>
      <c r="C752" s="31"/>
      <c r="D752" s="32">
        <v>11703.12</v>
      </c>
      <c r="E752" s="31"/>
      <c r="F752" s="32">
        <v>11703.12</v>
      </c>
      <c r="G752" s="31"/>
    </row>
    <row r="753" s="11" customFormat="1" ht="37" customHeight="1" outlineLevel="3" spans="1:7">
      <c r="A753" s="30" t="s">
        <v>1069</v>
      </c>
      <c r="B753" s="31"/>
      <c r="C753" s="31"/>
      <c r="D753" s="32">
        <v>11316.89</v>
      </c>
      <c r="E753" s="31"/>
      <c r="F753" s="32">
        <v>11316.89</v>
      </c>
      <c r="G753" s="31"/>
    </row>
    <row r="754" s="11" customFormat="1" ht="37" customHeight="1" outlineLevel="3" spans="1:7">
      <c r="A754" s="30" t="s">
        <v>1070</v>
      </c>
      <c r="B754" s="31"/>
      <c r="C754" s="31"/>
      <c r="D754" s="32">
        <v>5401.44</v>
      </c>
      <c r="E754" s="32">
        <v>5401.44</v>
      </c>
      <c r="F754" s="31"/>
      <c r="G754" s="31"/>
    </row>
    <row r="755" s="11" customFormat="1" ht="37" customHeight="1" outlineLevel="3" spans="1:7">
      <c r="A755" s="30" t="s">
        <v>1071</v>
      </c>
      <c r="B755" s="31"/>
      <c r="C755" s="31"/>
      <c r="D755" s="32">
        <v>3510.94</v>
      </c>
      <c r="E755" s="32">
        <v>3510.94</v>
      </c>
      <c r="F755" s="31"/>
      <c r="G755" s="31"/>
    </row>
    <row r="756" s="11" customFormat="1" ht="37" customHeight="1" outlineLevel="3" spans="1:7">
      <c r="A756" s="30" t="s">
        <v>1072</v>
      </c>
      <c r="B756" s="31"/>
      <c r="C756" s="31"/>
      <c r="D756" s="32">
        <v>3510.94</v>
      </c>
      <c r="E756" s="32">
        <v>3510.94</v>
      </c>
      <c r="F756" s="31"/>
      <c r="G756" s="31"/>
    </row>
    <row r="757" s="11" customFormat="1" ht="37" customHeight="1" outlineLevel="3" spans="1:7">
      <c r="A757" s="30" t="s">
        <v>1073</v>
      </c>
      <c r="B757" s="31"/>
      <c r="C757" s="31"/>
      <c r="D757" s="32">
        <v>3510.94</v>
      </c>
      <c r="E757" s="32">
        <v>3510.94</v>
      </c>
      <c r="F757" s="31"/>
      <c r="G757" s="31"/>
    </row>
    <row r="758" s="11" customFormat="1" ht="37" customHeight="1" outlineLevel="3" spans="1:7">
      <c r="A758" s="30" t="s">
        <v>1074</v>
      </c>
      <c r="B758" s="31"/>
      <c r="C758" s="31"/>
      <c r="D758" s="32">
        <v>11703.12</v>
      </c>
      <c r="E758" s="31"/>
      <c r="F758" s="32">
        <v>11703.12</v>
      </c>
      <c r="G758" s="31"/>
    </row>
    <row r="759" s="11" customFormat="1" ht="37" customHeight="1" outlineLevel="3" spans="1:7">
      <c r="A759" s="30" t="s">
        <v>1075</v>
      </c>
      <c r="B759" s="31"/>
      <c r="C759" s="31"/>
      <c r="D759" s="32">
        <v>8777.34</v>
      </c>
      <c r="E759" s="31"/>
      <c r="F759" s="32">
        <v>8777.34</v>
      </c>
      <c r="G759" s="31"/>
    </row>
    <row r="760" s="11" customFormat="1" ht="37" customHeight="1" outlineLevel="3" spans="1:7">
      <c r="A760" s="30" t="s">
        <v>1076</v>
      </c>
      <c r="B760" s="31"/>
      <c r="C760" s="31"/>
      <c r="D760" s="32">
        <v>12443.64</v>
      </c>
      <c r="E760" s="31"/>
      <c r="F760" s="32">
        <v>12443.64</v>
      </c>
      <c r="G760" s="31"/>
    </row>
    <row r="761" s="11" customFormat="1" ht="37" customHeight="1" outlineLevel="3" spans="1:7">
      <c r="A761" s="30" t="s">
        <v>1077</v>
      </c>
      <c r="B761" s="31"/>
      <c r="C761" s="31"/>
      <c r="D761" s="32">
        <v>5851.56</v>
      </c>
      <c r="E761" s="32">
        <v>5851.56</v>
      </c>
      <c r="F761" s="31"/>
      <c r="G761" s="31"/>
    </row>
    <row r="762" s="11" customFormat="1" ht="37" customHeight="1" outlineLevel="3" spans="1:7">
      <c r="A762" s="30" t="s">
        <v>1078</v>
      </c>
      <c r="B762" s="31"/>
      <c r="C762" s="31"/>
      <c r="D762" s="32">
        <v>5851.56</v>
      </c>
      <c r="E762" s="32">
        <v>5851.56</v>
      </c>
      <c r="F762" s="31"/>
      <c r="G762" s="31"/>
    </row>
    <row r="763" s="11" customFormat="1" ht="37" customHeight="1" outlineLevel="3" spans="1:7">
      <c r="A763" s="30" t="s">
        <v>1079</v>
      </c>
      <c r="B763" s="31"/>
      <c r="C763" s="31"/>
      <c r="D763" s="32">
        <v>9947.65</v>
      </c>
      <c r="E763" s="31"/>
      <c r="F763" s="32">
        <v>9947.65</v>
      </c>
      <c r="G763" s="31"/>
    </row>
    <row r="764" s="11" customFormat="1" ht="37" customHeight="1" outlineLevel="3" spans="1:7">
      <c r="A764" s="30" t="s">
        <v>1080</v>
      </c>
      <c r="B764" s="31"/>
      <c r="C764" s="31"/>
      <c r="D764" s="32">
        <v>11703.12</v>
      </c>
      <c r="E764" s="31"/>
      <c r="F764" s="32">
        <v>11703.12</v>
      </c>
      <c r="G764" s="31"/>
    </row>
    <row r="765" s="11" customFormat="1" ht="37" customHeight="1" outlineLevel="3" spans="1:7">
      <c r="A765" s="30" t="s">
        <v>1081</v>
      </c>
      <c r="B765" s="31"/>
      <c r="C765" s="31"/>
      <c r="D765" s="32">
        <v>1886.15</v>
      </c>
      <c r="E765" s="32">
        <v>1886.15</v>
      </c>
      <c r="F765" s="31"/>
      <c r="G765" s="31"/>
    </row>
    <row r="766" s="11" customFormat="1" ht="12" customHeight="1" outlineLevel="2" spans="1:7">
      <c r="A766" s="27" t="s">
        <v>1082</v>
      </c>
      <c r="B766" s="28"/>
      <c r="C766" s="28"/>
      <c r="D766" s="29">
        <v>10680</v>
      </c>
      <c r="E766" s="29">
        <v>10680</v>
      </c>
      <c r="F766" s="28"/>
      <c r="G766" s="28"/>
    </row>
    <row r="767" s="11" customFormat="1" ht="37" customHeight="1" outlineLevel="3" spans="1:7">
      <c r="A767" s="30" t="s">
        <v>1083</v>
      </c>
      <c r="B767" s="31"/>
      <c r="C767" s="31"/>
      <c r="D767" s="32">
        <v>10680</v>
      </c>
      <c r="E767" s="32">
        <v>10680</v>
      </c>
      <c r="F767" s="31"/>
      <c r="G767" s="31"/>
    </row>
    <row r="768" s="11" customFormat="1" ht="12" customHeight="1" outlineLevel="2" spans="1:7">
      <c r="A768" s="27" t="s">
        <v>690</v>
      </c>
      <c r="B768" s="28"/>
      <c r="C768" s="28"/>
      <c r="D768" s="29">
        <v>4387</v>
      </c>
      <c r="E768" s="29">
        <v>4387</v>
      </c>
      <c r="F768" s="28"/>
      <c r="G768" s="28"/>
    </row>
    <row r="769" s="11" customFormat="1" ht="37" customHeight="1" outlineLevel="3" spans="1:7">
      <c r="A769" s="30" t="s">
        <v>1084</v>
      </c>
      <c r="B769" s="31"/>
      <c r="C769" s="31"/>
      <c r="D769" s="32">
        <v>2193.5</v>
      </c>
      <c r="E769" s="32">
        <v>2193.5</v>
      </c>
      <c r="F769" s="31"/>
      <c r="G769" s="31"/>
    </row>
    <row r="770" s="11" customFormat="1" ht="37" customHeight="1" outlineLevel="3" spans="1:7">
      <c r="A770" s="30" t="s">
        <v>1085</v>
      </c>
      <c r="B770" s="31"/>
      <c r="C770" s="31"/>
      <c r="D770" s="32">
        <v>2193.5</v>
      </c>
      <c r="E770" s="32">
        <v>2193.5</v>
      </c>
      <c r="F770" s="31"/>
      <c r="G770" s="31"/>
    </row>
    <row r="771" s="11" customFormat="1" ht="12" customHeight="1" outlineLevel="2" spans="1:7">
      <c r="A771" s="27" t="s">
        <v>695</v>
      </c>
      <c r="B771" s="28"/>
      <c r="C771" s="28"/>
      <c r="D771" s="29">
        <v>5666.66</v>
      </c>
      <c r="E771" s="29">
        <v>5666.66</v>
      </c>
      <c r="F771" s="28"/>
      <c r="G771" s="28"/>
    </row>
    <row r="772" s="11" customFormat="1" ht="37" customHeight="1" outlineLevel="3" spans="1:7">
      <c r="A772" s="30" t="s">
        <v>1086</v>
      </c>
      <c r="B772" s="31"/>
      <c r="C772" s="31"/>
      <c r="D772" s="32">
        <v>2833.33</v>
      </c>
      <c r="E772" s="32">
        <v>2833.33</v>
      </c>
      <c r="F772" s="31"/>
      <c r="G772" s="31"/>
    </row>
    <row r="773" s="11" customFormat="1" ht="37" customHeight="1" outlineLevel="3" spans="1:7">
      <c r="A773" s="30" t="s">
        <v>1087</v>
      </c>
      <c r="B773" s="31"/>
      <c r="C773" s="31"/>
      <c r="D773" s="32">
        <v>2833.33</v>
      </c>
      <c r="E773" s="32">
        <v>2833.33</v>
      </c>
      <c r="F773" s="31"/>
      <c r="G773" s="31"/>
    </row>
    <row r="774" s="11" customFormat="1" ht="12" customHeight="1" outlineLevel="2" spans="1:7">
      <c r="A774" s="27" t="s">
        <v>713</v>
      </c>
      <c r="B774" s="28"/>
      <c r="C774" s="28"/>
      <c r="D774" s="29">
        <v>2844.5</v>
      </c>
      <c r="E774" s="29">
        <v>2844.5</v>
      </c>
      <c r="F774" s="28"/>
      <c r="G774" s="28"/>
    </row>
    <row r="775" s="11" customFormat="1" ht="37" customHeight="1" outlineLevel="3" spans="1:7">
      <c r="A775" s="30" t="s">
        <v>1088</v>
      </c>
      <c r="B775" s="31"/>
      <c r="C775" s="31"/>
      <c r="D775" s="32">
        <v>1377.83</v>
      </c>
      <c r="E775" s="32">
        <v>1377.83</v>
      </c>
      <c r="F775" s="31"/>
      <c r="G775" s="31"/>
    </row>
    <row r="776" s="11" customFormat="1" ht="37" customHeight="1" outlineLevel="3" spans="1:7">
      <c r="A776" s="30" t="s">
        <v>1089</v>
      </c>
      <c r="B776" s="31"/>
      <c r="C776" s="31"/>
      <c r="D776" s="32">
        <v>1466.67</v>
      </c>
      <c r="E776" s="32">
        <v>1466.67</v>
      </c>
      <c r="F776" s="31"/>
      <c r="G776" s="31"/>
    </row>
    <row r="777" s="11" customFormat="1" ht="12" customHeight="1" outlineLevel="2" spans="1:7">
      <c r="A777" s="27" t="s">
        <v>1090</v>
      </c>
      <c r="B777" s="28"/>
      <c r="C777" s="28"/>
      <c r="D777" s="29">
        <v>44158.33</v>
      </c>
      <c r="E777" s="29">
        <v>44158.33</v>
      </c>
      <c r="F777" s="28"/>
      <c r="G777" s="28"/>
    </row>
    <row r="778" s="11" customFormat="1" ht="37" customHeight="1" outlineLevel="3" spans="1:7">
      <c r="A778" s="30" t="s">
        <v>1091</v>
      </c>
      <c r="B778" s="31"/>
      <c r="C778" s="31"/>
      <c r="D778" s="32">
        <v>22680</v>
      </c>
      <c r="E778" s="32">
        <v>22680</v>
      </c>
      <c r="F778" s="31"/>
      <c r="G778" s="31"/>
    </row>
    <row r="779" s="11" customFormat="1" ht="37" customHeight="1" outlineLevel="3" spans="1:7">
      <c r="A779" s="30" t="s">
        <v>1092</v>
      </c>
      <c r="B779" s="31"/>
      <c r="C779" s="31"/>
      <c r="D779" s="32">
        <v>6240</v>
      </c>
      <c r="E779" s="32">
        <v>6240</v>
      </c>
      <c r="F779" s="31"/>
      <c r="G779" s="31"/>
    </row>
    <row r="780" s="11" customFormat="1" ht="37" customHeight="1" outlineLevel="3" spans="1:7">
      <c r="A780" s="30" t="s">
        <v>1093</v>
      </c>
      <c r="B780" s="31"/>
      <c r="C780" s="31"/>
      <c r="D780" s="32">
        <v>15238.33</v>
      </c>
      <c r="E780" s="32">
        <v>15238.33</v>
      </c>
      <c r="F780" s="31"/>
      <c r="G780" s="31"/>
    </row>
    <row r="781" s="11" customFormat="1" ht="12" customHeight="1" outlineLevel="2" spans="1:7">
      <c r="A781" s="27" t="s">
        <v>250</v>
      </c>
      <c r="B781" s="28"/>
      <c r="C781" s="28"/>
      <c r="D781" s="34">
        <v>150</v>
      </c>
      <c r="E781" s="34">
        <v>150</v>
      </c>
      <c r="F781" s="28"/>
      <c r="G781" s="28"/>
    </row>
    <row r="782" s="11" customFormat="1" ht="37" customHeight="1" outlineLevel="3" spans="1:7">
      <c r="A782" s="30" t="s">
        <v>1094</v>
      </c>
      <c r="B782" s="31"/>
      <c r="C782" s="31"/>
      <c r="D782" s="33">
        <v>75</v>
      </c>
      <c r="E782" s="33">
        <v>75</v>
      </c>
      <c r="F782" s="31"/>
      <c r="G782" s="31"/>
    </row>
    <row r="783" s="11" customFormat="1" ht="37" customHeight="1" outlineLevel="3" spans="1:7">
      <c r="A783" s="30" t="s">
        <v>1095</v>
      </c>
      <c r="B783" s="31"/>
      <c r="C783" s="31"/>
      <c r="D783" s="33">
        <v>75</v>
      </c>
      <c r="E783" s="33">
        <v>75</v>
      </c>
      <c r="F783" s="31"/>
      <c r="G783" s="31"/>
    </row>
    <row r="784" s="11" customFormat="1" ht="12" customHeight="1" outlineLevel="2" spans="1:7">
      <c r="A784" s="27" t="s">
        <v>258</v>
      </c>
      <c r="B784" s="29">
        <v>133900</v>
      </c>
      <c r="C784" s="28"/>
      <c r="D784" s="29">
        <v>314833.34</v>
      </c>
      <c r="E784" s="29">
        <v>448733.34</v>
      </c>
      <c r="F784" s="28"/>
      <c r="G784" s="28"/>
    </row>
    <row r="785" s="11" customFormat="1" ht="37" customHeight="1" outlineLevel="3" spans="1:7">
      <c r="A785" s="30" t="s">
        <v>259</v>
      </c>
      <c r="B785" s="32">
        <v>27383.33</v>
      </c>
      <c r="C785" s="31"/>
      <c r="D785" s="31"/>
      <c r="E785" s="32">
        <v>27383.33</v>
      </c>
      <c r="F785" s="31"/>
      <c r="G785" s="31"/>
    </row>
    <row r="786" s="11" customFormat="1" ht="37" customHeight="1" outlineLevel="3" spans="1:7">
      <c r="A786" s="30" t="s">
        <v>260</v>
      </c>
      <c r="B786" s="32">
        <v>76750</v>
      </c>
      <c r="C786" s="31"/>
      <c r="D786" s="31"/>
      <c r="E786" s="32">
        <v>76750</v>
      </c>
      <c r="F786" s="31"/>
      <c r="G786" s="31"/>
    </row>
    <row r="787" s="11" customFormat="1" ht="37" customHeight="1" outlineLevel="3" spans="1:7">
      <c r="A787" s="30" t="s">
        <v>261</v>
      </c>
      <c r="B787" s="32">
        <v>29766.67</v>
      </c>
      <c r="C787" s="31"/>
      <c r="D787" s="31"/>
      <c r="E787" s="32">
        <v>29766.67</v>
      </c>
      <c r="F787" s="31"/>
      <c r="G787" s="31"/>
    </row>
    <row r="788" s="11" customFormat="1" ht="37" customHeight="1" outlineLevel="3" spans="1:7">
      <c r="A788" s="30" t="s">
        <v>1096</v>
      </c>
      <c r="B788" s="31"/>
      <c r="C788" s="31"/>
      <c r="D788" s="32">
        <v>117916.67</v>
      </c>
      <c r="E788" s="32">
        <v>117916.67</v>
      </c>
      <c r="F788" s="31"/>
      <c r="G788" s="31"/>
    </row>
    <row r="789" s="11" customFormat="1" ht="37" customHeight="1" outlineLevel="3" spans="1:7">
      <c r="A789" s="30" t="s">
        <v>1097</v>
      </c>
      <c r="B789" s="31"/>
      <c r="C789" s="31"/>
      <c r="D789" s="32">
        <v>196916.67</v>
      </c>
      <c r="E789" s="32">
        <v>196916.67</v>
      </c>
      <c r="F789" s="31"/>
      <c r="G789" s="31"/>
    </row>
    <row r="790" s="11" customFormat="1" ht="12" customHeight="1" outlineLevel="2" spans="1:7">
      <c r="A790" s="27" t="s">
        <v>177</v>
      </c>
      <c r="B790" s="28"/>
      <c r="C790" s="28"/>
      <c r="D790" s="29">
        <v>6748.14</v>
      </c>
      <c r="E790" s="29">
        <v>6748.14</v>
      </c>
      <c r="F790" s="28"/>
      <c r="G790" s="28"/>
    </row>
    <row r="791" s="11" customFormat="1" ht="37" customHeight="1" outlineLevel="3" spans="1:7">
      <c r="A791" s="30" t="s">
        <v>1098</v>
      </c>
      <c r="B791" s="31"/>
      <c r="C791" s="31"/>
      <c r="D791" s="32">
        <v>2323</v>
      </c>
      <c r="E791" s="32">
        <v>2323</v>
      </c>
      <c r="F791" s="31"/>
      <c r="G791" s="31"/>
    </row>
    <row r="792" s="11" customFormat="1" ht="37" customHeight="1" outlineLevel="3" spans="1:7">
      <c r="A792" s="30" t="s">
        <v>1099</v>
      </c>
      <c r="B792" s="31"/>
      <c r="C792" s="31"/>
      <c r="D792" s="32">
        <v>4425.14</v>
      </c>
      <c r="E792" s="32">
        <v>4425.14</v>
      </c>
      <c r="F792" s="31"/>
      <c r="G792" s="31"/>
    </row>
    <row r="793" s="11" customFormat="1" ht="37" customHeight="1" outlineLevel="2" spans="1:7">
      <c r="A793" s="27" t="s">
        <v>1100</v>
      </c>
      <c r="B793" s="28"/>
      <c r="C793" s="28"/>
      <c r="D793" s="34">
        <v>300</v>
      </c>
      <c r="E793" s="34">
        <v>300</v>
      </c>
      <c r="F793" s="28"/>
      <c r="G793" s="28"/>
    </row>
    <row r="794" s="11" customFormat="1" ht="37" customHeight="1" outlineLevel="3" spans="1:7">
      <c r="A794" s="30" t="s">
        <v>1101</v>
      </c>
      <c r="B794" s="31"/>
      <c r="C794" s="31"/>
      <c r="D794" s="33">
        <v>133.33</v>
      </c>
      <c r="E794" s="33">
        <v>133.33</v>
      </c>
      <c r="F794" s="31"/>
      <c r="G794" s="31"/>
    </row>
    <row r="795" s="11" customFormat="1" ht="37" customHeight="1" outlineLevel="3" spans="1:7">
      <c r="A795" s="30" t="s">
        <v>1102</v>
      </c>
      <c r="B795" s="31"/>
      <c r="C795" s="31"/>
      <c r="D795" s="33">
        <v>166.67</v>
      </c>
      <c r="E795" s="33">
        <v>166.67</v>
      </c>
      <c r="F795" s="31"/>
      <c r="G795" s="31"/>
    </row>
    <row r="796" s="11" customFormat="1" ht="12" customHeight="1" outlineLevel="2" spans="1:7">
      <c r="A796" s="27" t="s">
        <v>1103</v>
      </c>
      <c r="B796" s="28"/>
      <c r="C796" s="28"/>
      <c r="D796" s="29">
        <v>5511908.33</v>
      </c>
      <c r="E796" s="28"/>
      <c r="F796" s="29">
        <v>5511908.33</v>
      </c>
      <c r="G796" s="28"/>
    </row>
    <row r="797" s="11" customFormat="1" ht="37" customHeight="1" outlineLevel="3" spans="1:7">
      <c r="A797" s="30" t="s">
        <v>1104</v>
      </c>
      <c r="B797" s="31"/>
      <c r="C797" s="31"/>
      <c r="D797" s="32">
        <v>2851108.33</v>
      </c>
      <c r="E797" s="31"/>
      <c r="F797" s="32">
        <v>2851108.33</v>
      </c>
      <c r="G797" s="31"/>
    </row>
    <row r="798" s="11" customFormat="1" ht="37" customHeight="1" outlineLevel="3" spans="1:7">
      <c r="A798" s="30" t="s">
        <v>1105</v>
      </c>
      <c r="B798" s="31"/>
      <c r="C798" s="31"/>
      <c r="D798" s="32">
        <v>2660800</v>
      </c>
      <c r="E798" s="31"/>
      <c r="F798" s="32">
        <v>2660800</v>
      </c>
      <c r="G798" s="31"/>
    </row>
    <row r="799" s="11" customFormat="1" ht="12" customHeight="1" outlineLevel="2" spans="1:7">
      <c r="A799" s="27" t="s">
        <v>262</v>
      </c>
      <c r="B799" s="28"/>
      <c r="C799" s="28"/>
      <c r="D799" s="29">
        <v>2087.5</v>
      </c>
      <c r="E799" s="29">
        <v>2087.5</v>
      </c>
      <c r="F799" s="28"/>
      <c r="G799" s="28"/>
    </row>
    <row r="800" s="11" customFormat="1" ht="37" customHeight="1" outlineLevel="3" spans="1:7">
      <c r="A800" s="30" t="s">
        <v>1106</v>
      </c>
      <c r="B800" s="31"/>
      <c r="C800" s="31"/>
      <c r="D800" s="32">
        <v>2087.5</v>
      </c>
      <c r="E800" s="32">
        <v>2087.5</v>
      </c>
      <c r="F800" s="31"/>
      <c r="G800" s="31"/>
    </row>
    <row r="801" s="11" customFormat="1" ht="12" customHeight="1" outlineLevel="2" spans="1:7">
      <c r="A801" s="27" t="s">
        <v>1107</v>
      </c>
      <c r="B801" s="28"/>
      <c r="C801" s="28"/>
      <c r="D801" s="29">
        <v>7666.66</v>
      </c>
      <c r="E801" s="29">
        <v>7666.66</v>
      </c>
      <c r="F801" s="28"/>
      <c r="G801" s="28"/>
    </row>
    <row r="802" s="11" customFormat="1" ht="37" customHeight="1" outlineLevel="3" spans="1:7">
      <c r="A802" s="30" t="s">
        <v>1108</v>
      </c>
      <c r="B802" s="31"/>
      <c r="C802" s="31"/>
      <c r="D802" s="32">
        <v>2333.33</v>
      </c>
      <c r="E802" s="32">
        <v>2333.33</v>
      </c>
      <c r="F802" s="31"/>
      <c r="G802" s="31"/>
    </row>
    <row r="803" s="11" customFormat="1" ht="37" customHeight="1" outlineLevel="3" spans="1:7">
      <c r="A803" s="30" t="s">
        <v>1109</v>
      </c>
      <c r="B803" s="31"/>
      <c r="C803" s="31"/>
      <c r="D803" s="32">
        <v>5333.33</v>
      </c>
      <c r="E803" s="32">
        <v>5333.33</v>
      </c>
      <c r="F803" s="31"/>
      <c r="G803" s="31"/>
    </row>
    <row r="804" s="11" customFormat="1" ht="12" customHeight="1" outlineLevel="2" spans="1:7">
      <c r="A804" s="27" t="s">
        <v>759</v>
      </c>
      <c r="B804" s="28"/>
      <c r="C804" s="28"/>
      <c r="D804" s="29">
        <v>9478.24</v>
      </c>
      <c r="E804" s="29">
        <v>9478.24</v>
      </c>
      <c r="F804" s="28"/>
      <c r="G804" s="28"/>
    </row>
    <row r="805" s="11" customFormat="1" ht="37" customHeight="1" outlineLevel="3" spans="1:7">
      <c r="A805" s="30" t="s">
        <v>1110</v>
      </c>
      <c r="B805" s="31"/>
      <c r="C805" s="31"/>
      <c r="D805" s="33">
        <v>833.33</v>
      </c>
      <c r="E805" s="33">
        <v>833.33</v>
      </c>
      <c r="F805" s="31"/>
      <c r="G805" s="31"/>
    </row>
    <row r="806" s="11" customFormat="1" ht="37" customHeight="1" outlineLevel="3" spans="1:7">
      <c r="A806" s="30" t="s">
        <v>1111</v>
      </c>
      <c r="B806" s="31"/>
      <c r="C806" s="31"/>
      <c r="D806" s="32">
        <v>1608.6</v>
      </c>
      <c r="E806" s="32">
        <v>1608.6</v>
      </c>
      <c r="F806" s="31"/>
      <c r="G806" s="31"/>
    </row>
    <row r="807" s="11" customFormat="1" ht="37" customHeight="1" outlineLevel="3" spans="1:7">
      <c r="A807" s="30" t="s">
        <v>1112</v>
      </c>
      <c r="B807" s="31"/>
      <c r="C807" s="31"/>
      <c r="D807" s="33">
        <v>833.33</v>
      </c>
      <c r="E807" s="33">
        <v>833.33</v>
      </c>
      <c r="F807" s="31"/>
      <c r="G807" s="31"/>
    </row>
    <row r="808" s="11" customFormat="1" ht="37" customHeight="1" outlineLevel="3" spans="1:7">
      <c r="A808" s="30" t="s">
        <v>1113</v>
      </c>
      <c r="B808" s="31"/>
      <c r="C808" s="31"/>
      <c r="D808" s="32">
        <v>3019.65</v>
      </c>
      <c r="E808" s="32">
        <v>3019.65</v>
      </c>
      <c r="F808" s="31"/>
      <c r="G808" s="31"/>
    </row>
    <row r="809" s="11" customFormat="1" ht="37" customHeight="1" outlineLevel="3" spans="1:7">
      <c r="A809" s="30" t="s">
        <v>1114</v>
      </c>
      <c r="B809" s="31"/>
      <c r="C809" s="31"/>
      <c r="D809" s="32">
        <v>3183.33</v>
      </c>
      <c r="E809" s="32">
        <v>3183.33</v>
      </c>
      <c r="F809" s="31"/>
      <c r="G809" s="31"/>
    </row>
    <row r="810" s="11" customFormat="1" ht="13" customHeight="1" spans="1:7">
      <c r="A810" s="35" t="s">
        <v>345</v>
      </c>
      <c r="B810" s="36">
        <v>720239.5</v>
      </c>
      <c r="C810" s="37"/>
      <c r="D810" s="36">
        <v>35382118.31</v>
      </c>
      <c r="E810" s="36">
        <v>20561546.48</v>
      </c>
      <c r="F810" s="36">
        <v>15540811.33</v>
      </c>
      <c r="G810" s="37"/>
    </row>
  </sheetData>
  <mergeCells count="11">
    <mergeCell ref="A1:G1"/>
    <mergeCell ref="A4:G4"/>
    <mergeCell ref="B6:C6"/>
    <mergeCell ref="D6:E6"/>
    <mergeCell ref="F6:G6"/>
    <mergeCell ref="B7:B8"/>
    <mergeCell ref="C7:C8"/>
    <mergeCell ref="D7:D8"/>
    <mergeCell ref="E7:E8"/>
    <mergeCell ref="F7:F8"/>
    <mergeCell ref="G7:G8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7"/>
  <sheetViews>
    <sheetView showGridLines="0" zoomScale="90" zoomScaleNormal="90" workbookViewId="0">
      <selection activeCell="I32" sqref="I32"/>
    </sheetView>
  </sheetViews>
  <sheetFormatPr defaultColWidth="9.23076923076923" defaultRowHeight="16.8" outlineLevelCol="7"/>
  <cols>
    <col min="1" max="1" width="4" customWidth="1"/>
    <col min="2" max="2" width="11.0769230769231" style="1" customWidth="1"/>
    <col min="3" max="3" width="16.2403846153846" customWidth="1"/>
    <col min="4" max="4" width="139.067307692308" customWidth="1"/>
    <col min="5" max="5" width="18.4807692307692" style="2" customWidth="1"/>
    <col min="7" max="7" width="9.23076923076923" style="1"/>
    <col min="8" max="8" width="12.9230769230769" style="2"/>
  </cols>
  <sheetData>
    <row r="2" s="1" customFormat="1" ht="34" spans="2:8">
      <c r="B2" s="3" t="s">
        <v>1115</v>
      </c>
      <c r="C2" s="4" t="s">
        <v>124</v>
      </c>
      <c r="D2" s="3" t="s">
        <v>1116</v>
      </c>
      <c r="E2" s="5" t="s">
        <v>1117</v>
      </c>
      <c r="F2" s="3" t="s">
        <v>1118</v>
      </c>
      <c r="G2" s="3" t="s">
        <v>1119</v>
      </c>
      <c r="H2" s="6"/>
    </row>
    <row r="3" s="1" customFormat="1" spans="2:8">
      <c r="B3" s="3" t="s">
        <v>1120</v>
      </c>
      <c r="C3" s="7">
        <v>8979.45</v>
      </c>
      <c r="D3" s="9" t="s">
        <v>1121</v>
      </c>
      <c r="E3" s="5">
        <v>4600000</v>
      </c>
      <c r="F3" s="8">
        <v>0.19</v>
      </c>
      <c r="G3" s="3">
        <v>5</v>
      </c>
      <c r="H3" s="6"/>
    </row>
    <row r="4" s="1" customFormat="1" spans="2:8">
      <c r="B4" s="3" t="s">
        <v>1120</v>
      </c>
      <c r="C4" s="7">
        <v>97602.74</v>
      </c>
      <c r="D4" s="9" t="s">
        <v>1122</v>
      </c>
      <c r="E4" s="5">
        <v>50000000</v>
      </c>
      <c r="F4" s="8">
        <v>0.19</v>
      </c>
      <c r="G4" s="3">
        <v>5</v>
      </c>
      <c r="H4" s="6"/>
    </row>
    <row r="5" s="1" customFormat="1" spans="2:8">
      <c r="B5" s="3" t="s">
        <v>1123</v>
      </c>
      <c r="C5" s="7">
        <v>19052.05</v>
      </c>
      <c r="D5" s="9" t="s">
        <v>1124</v>
      </c>
      <c r="E5" s="5">
        <v>48800000</v>
      </c>
      <c r="F5" s="8">
        <v>0.19</v>
      </c>
      <c r="G5" s="3">
        <v>1</v>
      </c>
      <c r="H5" s="6"/>
    </row>
    <row r="6" s="1" customFormat="1" spans="2:8">
      <c r="B6" s="3" t="s">
        <v>1125</v>
      </c>
      <c r="C6" s="7">
        <v>18219.18</v>
      </c>
      <c r="D6" s="9" t="s">
        <v>1126</v>
      </c>
      <c r="E6" s="5">
        <v>35000000</v>
      </c>
      <c r="F6" s="8">
        <v>0.19</v>
      </c>
      <c r="G6" s="3">
        <v>1</v>
      </c>
      <c r="H6" s="6">
        <f>F6/365*E6*G6</f>
        <v>18219.1780821918</v>
      </c>
    </row>
    <row r="7" s="1" customFormat="1" spans="2:8">
      <c r="B7" s="3" t="s">
        <v>1127</v>
      </c>
      <c r="C7" s="7">
        <v>199265.75</v>
      </c>
      <c r="D7" s="9" t="s">
        <v>1128</v>
      </c>
      <c r="E7" s="5">
        <v>127600000</v>
      </c>
      <c r="F7" s="8">
        <v>0.19</v>
      </c>
      <c r="G7" s="3">
        <v>3</v>
      </c>
      <c r="H7" s="6">
        <f t="shared" ref="H7:H25" si="0">F7/365*E7*G7</f>
        <v>199265.753424658</v>
      </c>
    </row>
    <row r="8" s="1" customFormat="1" spans="2:8">
      <c r="B8" s="3" t="s">
        <v>1129</v>
      </c>
      <c r="C8" s="7">
        <v>48931.51</v>
      </c>
      <c r="D8" s="9" t="s">
        <v>1130</v>
      </c>
      <c r="E8" s="5">
        <v>94000000</v>
      </c>
      <c r="F8" s="8">
        <v>0.19</v>
      </c>
      <c r="G8" s="3">
        <v>1</v>
      </c>
      <c r="H8" s="6">
        <f t="shared" si="0"/>
        <v>48931.5068493151</v>
      </c>
    </row>
    <row r="9" s="1" customFormat="1" spans="2:8">
      <c r="B9" s="3" t="s">
        <v>1131</v>
      </c>
      <c r="C9" s="7">
        <v>42945.21</v>
      </c>
      <c r="D9" s="9" t="s">
        <v>1132</v>
      </c>
      <c r="E9" s="5">
        <v>82500000</v>
      </c>
      <c r="F9" s="8">
        <v>0.19</v>
      </c>
      <c r="G9" s="3">
        <v>1</v>
      </c>
      <c r="H9" s="6">
        <f t="shared" si="0"/>
        <v>42945.2054794521</v>
      </c>
    </row>
    <row r="10" s="1" customFormat="1" spans="2:8">
      <c r="B10" s="3" t="s">
        <v>1133</v>
      </c>
      <c r="C10" s="7">
        <v>41643.84</v>
      </c>
      <c r="D10" s="9" t="s">
        <v>1134</v>
      </c>
      <c r="E10" s="5">
        <v>80000000</v>
      </c>
      <c r="F10" s="8">
        <v>0.19</v>
      </c>
      <c r="G10" s="3">
        <v>1</v>
      </c>
      <c r="H10" s="6">
        <f t="shared" si="0"/>
        <v>41643.8356164384</v>
      </c>
    </row>
    <row r="11" s="1" customFormat="1" spans="2:8">
      <c r="B11" s="3" t="s">
        <v>1135</v>
      </c>
      <c r="C11" s="7">
        <v>121808.22</v>
      </c>
      <c r="D11" s="9" t="s">
        <v>1136</v>
      </c>
      <c r="E11" s="5">
        <v>78000000</v>
      </c>
      <c r="F11" s="8">
        <v>0.19</v>
      </c>
      <c r="G11" s="3">
        <v>3</v>
      </c>
      <c r="H11" s="6">
        <f t="shared" si="0"/>
        <v>121808.219178082</v>
      </c>
    </row>
    <row r="12" spans="2:8">
      <c r="B12" s="3" t="s">
        <v>1137</v>
      </c>
      <c r="C12" s="10">
        <v>41019.18</v>
      </c>
      <c r="D12" s="9" t="s">
        <v>1138</v>
      </c>
      <c r="E12" s="10">
        <v>78800000</v>
      </c>
      <c r="F12" s="8">
        <v>0.19</v>
      </c>
      <c r="G12" s="3">
        <v>1</v>
      </c>
      <c r="H12" s="6">
        <f t="shared" si="0"/>
        <v>41019.1780821918</v>
      </c>
    </row>
    <row r="13" spans="2:8">
      <c r="B13" s="3" t="s">
        <v>1139</v>
      </c>
      <c r="C13" s="10">
        <v>40863.01</v>
      </c>
      <c r="D13" s="9" t="s">
        <v>1140</v>
      </c>
      <c r="E13" s="10">
        <v>78500000</v>
      </c>
      <c r="F13" s="8">
        <v>0.19</v>
      </c>
      <c r="G13" s="3">
        <v>1</v>
      </c>
      <c r="H13" s="6">
        <f t="shared" si="0"/>
        <v>40863.0136986301</v>
      </c>
    </row>
    <row r="14" spans="2:8">
      <c r="B14" s="3" t="s">
        <v>1141</v>
      </c>
      <c r="C14" s="10">
        <v>35397.26</v>
      </c>
      <c r="D14" s="9" t="s">
        <v>1142</v>
      </c>
      <c r="E14" s="10">
        <v>68000000</v>
      </c>
      <c r="F14" s="8">
        <v>0.19</v>
      </c>
      <c r="G14" s="3">
        <v>1</v>
      </c>
      <c r="H14" s="6">
        <f t="shared" si="0"/>
        <v>35397.2602739726</v>
      </c>
    </row>
    <row r="15" spans="2:8">
      <c r="B15" s="3" t="s">
        <v>1143</v>
      </c>
      <c r="C15" s="10">
        <v>126369.86</v>
      </c>
      <c r="D15" s="9" t="s">
        <v>1144</v>
      </c>
      <c r="E15" s="10">
        <v>82000000</v>
      </c>
      <c r="F15" s="8">
        <v>0.19</v>
      </c>
      <c r="G15" s="3">
        <v>3</v>
      </c>
      <c r="H15" s="6">
        <f t="shared" si="0"/>
        <v>128054.794520548</v>
      </c>
    </row>
    <row r="16" spans="2:8">
      <c r="B16" s="3" t="s">
        <v>1145</v>
      </c>
      <c r="C16" s="10">
        <v>42123.29</v>
      </c>
      <c r="D16" s="9" t="s">
        <v>1146</v>
      </c>
      <c r="E16" s="10">
        <v>82000000</v>
      </c>
      <c r="F16" s="8">
        <v>0.19</v>
      </c>
      <c r="G16" s="3">
        <v>1</v>
      </c>
      <c r="H16" s="6">
        <f t="shared" si="0"/>
        <v>42684.9315068493</v>
      </c>
    </row>
    <row r="17" spans="2:8">
      <c r="B17" s="3" t="s">
        <v>1147</v>
      </c>
      <c r="C17" s="10">
        <v>27739.73</v>
      </c>
      <c r="D17" s="9" t="s">
        <v>1148</v>
      </c>
      <c r="E17" s="10">
        <v>54000000</v>
      </c>
      <c r="F17" s="8">
        <v>0.19</v>
      </c>
      <c r="G17" s="3">
        <v>1</v>
      </c>
      <c r="H17" s="6">
        <f t="shared" si="0"/>
        <v>28109.5890410959</v>
      </c>
    </row>
    <row r="18" spans="2:8">
      <c r="B18" s="3" t="s">
        <v>1149</v>
      </c>
      <c r="C18" s="10">
        <v>27517.81</v>
      </c>
      <c r="D18" s="9" t="s">
        <v>1150</v>
      </c>
      <c r="E18" s="10">
        <v>54000000</v>
      </c>
      <c r="F18" s="8">
        <v>0.19</v>
      </c>
      <c r="G18" s="3">
        <v>1</v>
      </c>
      <c r="H18" s="6">
        <f t="shared" si="0"/>
        <v>28109.5890410959</v>
      </c>
    </row>
    <row r="19" spans="2:8">
      <c r="B19" s="3" t="s">
        <v>1151</v>
      </c>
      <c r="C19" s="10">
        <v>24460.27</v>
      </c>
      <c r="D19" s="9" t="s">
        <v>1152</v>
      </c>
      <c r="E19" s="10">
        <v>48000000</v>
      </c>
      <c r="F19" s="8">
        <v>0.19</v>
      </c>
      <c r="G19" s="3">
        <v>1</v>
      </c>
      <c r="H19" s="6">
        <f t="shared" si="0"/>
        <v>24986.301369863</v>
      </c>
    </row>
    <row r="20" spans="2:8">
      <c r="B20" s="3" t="s">
        <v>1153</v>
      </c>
      <c r="C20" s="10">
        <v>44095.89</v>
      </c>
      <c r="D20" s="9" t="s">
        <v>1154</v>
      </c>
      <c r="E20" s="10">
        <v>29000000</v>
      </c>
      <c r="F20" s="8">
        <v>0.19</v>
      </c>
      <c r="G20" s="3">
        <v>3</v>
      </c>
      <c r="H20" s="6">
        <f t="shared" si="0"/>
        <v>45287.6712328767</v>
      </c>
    </row>
    <row r="21" spans="2:8">
      <c r="B21" s="3" t="s">
        <v>1155</v>
      </c>
      <c r="C21" s="10">
        <v>14698.63</v>
      </c>
      <c r="D21" s="9" t="s">
        <v>1156</v>
      </c>
      <c r="E21" s="10">
        <v>29000000</v>
      </c>
      <c r="F21" s="8">
        <v>0.19</v>
      </c>
      <c r="G21" s="3">
        <v>1</v>
      </c>
      <c r="H21" s="6">
        <f t="shared" si="0"/>
        <v>15095.8904109589</v>
      </c>
    </row>
    <row r="22" spans="2:8">
      <c r="B22" s="3" t="s">
        <v>1157</v>
      </c>
      <c r="C22" s="10">
        <v>14698.63</v>
      </c>
      <c r="D22" s="9" t="s">
        <v>1158</v>
      </c>
      <c r="E22" s="10">
        <v>29000000</v>
      </c>
      <c r="F22" s="8">
        <v>0.19</v>
      </c>
      <c r="G22" s="3">
        <v>1</v>
      </c>
      <c r="H22" s="6">
        <f t="shared" si="0"/>
        <v>15095.8904109589</v>
      </c>
    </row>
    <row r="23" spans="2:8">
      <c r="B23" s="3" t="s">
        <v>1159</v>
      </c>
      <c r="C23" s="10">
        <v>12671.23</v>
      </c>
      <c r="D23" s="9" t="s">
        <v>1160</v>
      </c>
      <c r="E23" s="10">
        <v>25000000</v>
      </c>
      <c r="F23" s="8">
        <v>0.19</v>
      </c>
      <c r="G23" s="3">
        <v>1</v>
      </c>
      <c r="H23" s="6">
        <f t="shared" si="0"/>
        <v>13013.698630137</v>
      </c>
    </row>
    <row r="24" spans="2:8">
      <c r="B24" s="3" t="s">
        <v>1161</v>
      </c>
      <c r="C24" s="10">
        <v>12417.81</v>
      </c>
      <c r="D24" s="9" t="s">
        <v>1162</v>
      </c>
      <c r="E24" s="10">
        <v>24500000</v>
      </c>
      <c r="F24" s="8">
        <v>0.19</v>
      </c>
      <c r="G24" s="3">
        <v>1</v>
      </c>
      <c r="H24" s="6">
        <f t="shared" si="0"/>
        <v>12753.4246575342</v>
      </c>
    </row>
    <row r="25" spans="2:8">
      <c r="B25" s="3" t="s">
        <v>1163</v>
      </c>
      <c r="C25" s="10">
        <v>24065.75</v>
      </c>
      <c r="D25" s="9" t="s">
        <v>1164</v>
      </c>
      <c r="E25" s="10">
        <v>16000000</v>
      </c>
      <c r="F25" s="8">
        <v>0.19</v>
      </c>
      <c r="G25" s="3">
        <v>3</v>
      </c>
      <c r="H25" s="6">
        <f t="shared" si="0"/>
        <v>24986.301369863</v>
      </c>
    </row>
    <row r="27" spans="2:8">
      <c r="C27" s="2">
        <f>SUM(C3:C26)</f>
        <v>1086586.3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showGridLines="0" zoomScale="90" zoomScaleNormal="90" workbookViewId="0">
      <selection activeCell="G13" sqref="G13"/>
    </sheetView>
  </sheetViews>
  <sheetFormatPr defaultColWidth="9.23076923076923" defaultRowHeight="16.8" outlineLevelRow="7" outlineLevelCol="7"/>
  <cols>
    <col min="1" max="1" width="4" customWidth="1"/>
    <col min="2" max="2" width="11.0769230769231" style="1" customWidth="1"/>
    <col min="3" max="3" width="11.7019230769231" customWidth="1"/>
    <col min="4" max="4" width="6" customWidth="1"/>
    <col min="5" max="5" width="15.7692307692308" style="2"/>
    <col min="7" max="7" width="9.23076923076923" style="1"/>
    <col min="8" max="8" width="12.9230769230769" style="2"/>
  </cols>
  <sheetData>
    <row r="2" s="1" customFormat="1" ht="17" spans="2:8">
      <c r="B2" s="3" t="s">
        <v>1115</v>
      </c>
      <c r="C2" s="4" t="s">
        <v>1165</v>
      </c>
      <c r="D2" s="3" t="s">
        <v>1116</v>
      </c>
      <c r="E2" s="5" t="s">
        <v>1117</v>
      </c>
      <c r="F2" s="3" t="s">
        <v>1118</v>
      </c>
      <c r="G2" s="3" t="s">
        <v>1119</v>
      </c>
      <c r="H2" s="6"/>
    </row>
    <row r="3" s="1" customFormat="1" spans="2:8">
      <c r="B3" s="3" t="s">
        <v>1166</v>
      </c>
      <c r="C3" s="7">
        <v>134.25</v>
      </c>
      <c r="D3" s="3"/>
      <c r="E3" s="5"/>
      <c r="F3" s="8">
        <v>0.19</v>
      </c>
      <c r="G3" s="3"/>
      <c r="H3" s="6"/>
    </row>
    <row r="4" s="1" customFormat="1" spans="2:8">
      <c r="B4" s="3" t="s">
        <v>1167</v>
      </c>
      <c r="C4" s="7">
        <v>764.09</v>
      </c>
      <c r="D4" s="9"/>
      <c r="E4" s="5"/>
      <c r="F4" s="8">
        <v>0.19</v>
      </c>
      <c r="G4" s="3"/>
      <c r="H4" s="6"/>
    </row>
    <row r="5" s="1" customFormat="1" spans="2:8">
      <c r="B5" s="3" t="s">
        <v>1168</v>
      </c>
      <c r="C5" s="7">
        <v>764.11</v>
      </c>
      <c r="D5" s="9"/>
      <c r="E5" s="5"/>
      <c r="F5" s="8">
        <v>0.19</v>
      </c>
      <c r="G5" s="3"/>
      <c r="H5" s="6"/>
    </row>
    <row r="6" s="1" customFormat="1" spans="2:8">
      <c r="B6" s="3"/>
      <c r="C6" s="7"/>
      <c r="D6" s="9"/>
      <c r="E6" s="5"/>
      <c r="F6" s="8"/>
      <c r="G6" s="3"/>
      <c r="H6" s="6"/>
    </row>
    <row r="8" spans="2:8">
      <c r="C8" s="2">
        <f>SUM(C3:C7)</f>
        <v>1662.45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合同数据</vt:lpstr>
      <vt:lpstr>兑换记录</vt:lpstr>
      <vt:lpstr>开票情况</vt:lpstr>
      <vt:lpstr>2024Q4进项</vt:lpstr>
      <vt:lpstr>2025Q1进项</vt:lpstr>
      <vt:lpstr>短期存款利息(RUB)</vt:lpstr>
      <vt:lpstr>短期存款利息(RMB)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大漠孤烟</cp:lastModifiedBy>
  <dcterms:created xsi:type="dcterms:W3CDTF">2025-04-11T17:42:00Z</dcterms:created>
  <dcterms:modified xsi:type="dcterms:W3CDTF">2026-01-06T15:09:14Z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0FBF5BA47A214E07B36ED16EF4CA6359_13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