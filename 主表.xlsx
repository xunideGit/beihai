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5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<sst xmlns="http://schemas.openxmlformats.org/spreadsheetml/2006/main" count="120" uniqueCount="32">
  <si>
    <t>content</t>
  </si>
  <si>
    <t>amount</t>
  </si>
  <si>
    <t>一级</t>
  </si>
  <si>
    <t>二级</t>
  </si>
  <si>
    <t>三级</t>
  </si>
  <si>
    <t>合同价款</t>
  </si>
  <si>
    <t>主材费</t>
  </si>
  <si>
    <t>土建</t>
  </si>
  <si>
    <t>钢结构+防火</t>
  </si>
  <si>
    <t>防腐保温</t>
  </si>
  <si>
    <t>施工费</t>
  </si>
  <si>
    <t>设备</t>
  </si>
  <si>
    <t>管道</t>
  </si>
  <si>
    <t>电气仪表</t>
  </si>
  <si>
    <t>间接费</t>
  </si>
  <si>
    <t>人力动迁</t>
  </si>
  <si>
    <t>间接：机械动迁维护</t>
  </si>
  <si>
    <t>直接：机械动迁</t>
  </si>
  <si>
    <t>工作签证</t>
  </si>
  <si>
    <t>临建设施</t>
  </si>
  <si>
    <t>运营费</t>
  </si>
  <si>
    <t>管理费</t>
  </si>
  <si>
    <t>意外伤害险</t>
  </si>
  <si>
    <t>HSE</t>
  </si>
  <si>
    <t>总部管理费</t>
  </si>
  <si>
    <t>卸车倒运</t>
  </si>
  <si>
    <t>保运试车</t>
  </si>
  <si>
    <t>社保个税</t>
  </si>
  <si>
    <t>特殊作业取证</t>
  </si>
  <si>
    <t>应急发电</t>
  </si>
  <si>
    <t>脚手架</t>
  </si>
  <si>
    <t>冬季施工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</si>
</sst>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3" fontId="0" fillId="2" borderId="1" xfId="0" applyNumberFormat="1" applyFill="1" applyBorder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3" fontId="0" fillId="0" borderId="1" xfId="0" applyNumberFormat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176" fontId="1" fillId="2" borderId="1" xfId="1" applyNumberFormat="1" applyFont="1" applyFill="1" applyBorder="1" applyAlignment="1">
      <alignment horizontal="center" vertical="center"/>
    </xf>
    <xf numFmtId="176" fontId="1" fillId="0" borderId="1" xfId="1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showGridLines="0" tabSelected="1" workbookViewId="0">
      <selection activeCell="F15" sqref="F15"/>
    </sheetView>
  </sheetViews>
  <sheetFormatPr defaultColWidth="9.23076923076923" defaultRowHeight="16.8" outlineLevelCol="4"/>
  <cols>
    <col min="1" max="1" width="22.4615384615385" style="1" customWidth="1"/>
    <col min="2" max="2" width="17.3846153846154"/>
    <col min="3" max="3" width="10.3076923076923" customWidth="1"/>
    <col min="5" max="5" width="22.4615384615385" customWidth="1"/>
  </cols>
  <sheetData>
    <row r="1" s="1" customFormat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2" t="s">
        <v>5</v>
      </c>
      <c r="B2" s="3">
        <f>B3+B7+B14</f>
        <v>1075856306</v>
      </c>
      <c r="C2" s="2" t="s">
        <v>5</v>
      </c>
      <c r="D2" s="2"/>
      <c r="E2" s="2"/>
    </row>
    <row r="3" ht="17" spans="1:5">
      <c r="A3" s="4" t="s">
        <v>6</v>
      </c>
      <c r="B3" s="5">
        <f>SUM(B4:B6)</f>
        <v>130617014</v>
      </c>
      <c r="C3" s="2" t="s">
        <v>5</v>
      </c>
      <c r="D3" s="6" t="s">
        <v>6</v>
      </c>
      <c r="E3" s="6"/>
    </row>
    <row r="4" ht="17" spans="1:5">
      <c r="A4" s="7" t="s">
        <v>7</v>
      </c>
      <c r="B4" s="8">
        <v>75974559</v>
      </c>
      <c r="C4" s="2" t="s">
        <v>5</v>
      </c>
      <c r="D4" s="6" t="s">
        <v>6</v>
      </c>
      <c r="E4" s="12" t="s">
        <v>7</v>
      </c>
    </row>
    <row r="5" ht="17" spans="1:5">
      <c r="A5" s="7" t="s">
        <v>8</v>
      </c>
      <c r="B5" s="8">
        <v>25797303</v>
      </c>
      <c r="C5" s="2" t="s">
        <v>5</v>
      </c>
      <c r="D5" s="6" t="s">
        <v>6</v>
      </c>
      <c r="E5" s="12" t="s">
        <v>8</v>
      </c>
    </row>
    <row r="6" ht="17" spans="1:5">
      <c r="A6" s="9" t="s">
        <v>9</v>
      </c>
      <c r="B6" s="8">
        <v>28845152</v>
      </c>
      <c r="C6" s="2" t="s">
        <v>5</v>
      </c>
      <c r="D6" s="6" t="s">
        <v>6</v>
      </c>
      <c r="E6" s="13" t="s">
        <v>9</v>
      </c>
    </row>
    <row r="7" spans="1:5">
      <c r="A7" s="10" t="s">
        <v>10</v>
      </c>
      <c r="B7" s="5">
        <f>SUM(B8:B13)</f>
        <v>598563198</v>
      </c>
      <c r="C7" s="2" t="s">
        <v>5</v>
      </c>
      <c r="D7" s="11" t="s">
        <v>10</v>
      </c>
      <c r="E7" s="11"/>
    </row>
    <row r="8" spans="1:5">
      <c r="A8" s="7" t="s">
        <v>7</v>
      </c>
      <c r="B8" s="8">
        <v>82381437</v>
      </c>
      <c r="C8" s="2" t="s">
        <v>5</v>
      </c>
      <c r="D8" s="11" t="s">
        <v>10</v>
      </c>
      <c r="E8" s="12" t="s">
        <v>7</v>
      </c>
    </row>
    <row r="9" spans="1:5">
      <c r="A9" s="7" t="s">
        <v>8</v>
      </c>
      <c r="B9" s="8">
        <v>86362548</v>
      </c>
      <c r="C9" s="2" t="s">
        <v>5</v>
      </c>
      <c r="D9" s="11" t="s">
        <v>10</v>
      </c>
      <c r="E9" s="12" t="s">
        <v>8</v>
      </c>
    </row>
    <row r="10" spans="1:5">
      <c r="A10" s="9" t="s">
        <v>11</v>
      </c>
      <c r="B10" s="8">
        <v>76053243</v>
      </c>
      <c r="C10" s="2" t="s">
        <v>5</v>
      </c>
      <c r="D10" s="11" t="s">
        <v>10</v>
      </c>
      <c r="E10" s="13" t="s">
        <v>11</v>
      </c>
    </row>
    <row r="11" spans="1:5">
      <c r="A11" s="9" t="s">
        <v>12</v>
      </c>
      <c r="B11" s="8">
        <v>265097078</v>
      </c>
      <c r="C11" s="2" t="s">
        <v>5</v>
      </c>
      <c r="D11" s="11" t="s">
        <v>10</v>
      </c>
      <c r="E11" s="13" t="s">
        <v>12</v>
      </c>
    </row>
    <row r="12" spans="1:5">
      <c r="A12" s="9" t="s">
        <v>9</v>
      </c>
      <c r="B12" s="8">
        <v>42818741</v>
      </c>
      <c r="C12" s="2" t="s">
        <v>5</v>
      </c>
      <c r="D12" s="11" t="s">
        <v>10</v>
      </c>
      <c r="E12" s="13" t="s">
        <v>9</v>
      </c>
    </row>
    <row r="13" spans="1:5">
      <c r="A13" s="9" t="s">
        <v>13</v>
      </c>
      <c r="B13" s="8">
        <v>45850151</v>
      </c>
      <c r="C13" s="2" t="s">
        <v>5</v>
      </c>
      <c r="D13" s="11" t="s">
        <v>10</v>
      </c>
      <c r="E13" s="13" t="s">
        <v>13</v>
      </c>
    </row>
    <row r="14" spans="1:5">
      <c r="A14" s="10" t="s">
        <v>14</v>
      </c>
      <c r="B14" s="5">
        <f>SUM(B15:B31)</f>
        <v>346676094</v>
      </c>
      <c r="C14" s="2" t="s">
        <v>5</v>
      </c>
      <c r="D14" s="11" t="s">
        <v>14</v>
      </c>
      <c r="E14" s="11"/>
    </row>
    <row r="15" spans="1:5">
      <c r="A15" s="9" t="s">
        <v>15</v>
      </c>
      <c r="B15" s="8">
        <v>30583400</v>
      </c>
      <c r="C15" s="2" t="s">
        <v>5</v>
      </c>
      <c r="D15" s="11" t="s">
        <v>14</v>
      </c>
      <c r="E15" s="14" t="s">
        <v>15</v>
      </c>
    </row>
    <row r="16" spans="1:5">
      <c r="A16" s="9" t="s">
        <v>16</v>
      </c>
      <c r="B16" s="8">
        <v>412500</v>
      </c>
      <c r="C16" s="2" t="s">
        <v>5</v>
      </c>
      <c r="D16" s="11" t="s">
        <v>14</v>
      </c>
      <c r="E16" s="14" t="s">
        <v>16</v>
      </c>
    </row>
    <row r="17" spans="1:5">
      <c r="A17" s="9" t="s">
        <v>17</v>
      </c>
      <c r="B17" s="8">
        <v>1456000</v>
      </c>
      <c r="C17" s="2" t="s">
        <v>5</v>
      </c>
      <c r="D17" s="11" t="s">
        <v>14</v>
      </c>
      <c r="E17" s="14" t="s">
        <v>17</v>
      </c>
    </row>
    <row r="18" spans="1:5">
      <c r="A18" s="9" t="s">
        <v>18</v>
      </c>
      <c r="B18" s="8">
        <v>11558487</v>
      </c>
      <c r="C18" s="2" t="s">
        <v>5</v>
      </c>
      <c r="D18" s="11" t="s">
        <v>14</v>
      </c>
      <c r="E18" s="14" t="s">
        <v>18</v>
      </c>
    </row>
    <row r="19" spans="1:5">
      <c r="A19" s="9" t="s">
        <v>19</v>
      </c>
      <c r="B19" s="8">
        <v>13329300</v>
      </c>
      <c r="C19" s="2" t="s">
        <v>5</v>
      </c>
      <c r="D19" s="11" t="s">
        <v>14</v>
      </c>
      <c r="E19" s="14" t="s">
        <v>19</v>
      </c>
    </row>
    <row r="20" spans="1:5">
      <c r="A20" s="9" t="s">
        <v>20</v>
      </c>
      <c r="B20" s="8">
        <v>32247454</v>
      </c>
      <c r="C20" s="2" t="s">
        <v>5</v>
      </c>
      <c r="D20" s="11" t="s">
        <v>14</v>
      </c>
      <c r="E20" s="14" t="s">
        <v>20</v>
      </c>
    </row>
    <row r="21" spans="1:5">
      <c r="A21" s="9" t="s">
        <v>21</v>
      </c>
      <c r="B21" s="8">
        <v>74838000</v>
      </c>
      <c r="C21" s="2" t="s">
        <v>5</v>
      </c>
      <c r="D21" s="11" t="s">
        <v>14</v>
      </c>
      <c r="E21" s="14" t="s">
        <v>21</v>
      </c>
    </row>
    <row r="22" spans="1:5">
      <c r="A22" s="9" t="s">
        <v>22</v>
      </c>
      <c r="B22" s="8">
        <v>3530500</v>
      </c>
      <c r="C22" s="2" t="s">
        <v>5</v>
      </c>
      <c r="D22" s="11" t="s">
        <v>14</v>
      </c>
      <c r="E22" s="14" t="s">
        <v>22</v>
      </c>
    </row>
    <row r="23" spans="1:5">
      <c r="A23" s="9" t="s">
        <v>23</v>
      </c>
      <c r="B23" s="8">
        <v>17358333</v>
      </c>
      <c r="C23" s="2" t="s">
        <v>5</v>
      </c>
      <c r="D23" s="11" t="s">
        <v>14</v>
      </c>
      <c r="E23" s="14" t="s">
        <v>23</v>
      </c>
    </row>
    <row r="24" spans="1:5">
      <c r="A24" s="9" t="s">
        <v>24</v>
      </c>
      <c r="B24" s="8">
        <v>47885056</v>
      </c>
      <c r="C24" s="2" t="s">
        <v>5</v>
      </c>
      <c r="D24" s="11" t="s">
        <v>14</v>
      </c>
      <c r="E24" s="14" t="s">
        <v>24</v>
      </c>
    </row>
    <row r="25" spans="1:5">
      <c r="A25" s="9" t="s">
        <v>25</v>
      </c>
      <c r="B25" s="8">
        <v>5860800</v>
      </c>
      <c r="C25" s="2" t="s">
        <v>5</v>
      </c>
      <c r="D25" s="11" t="s">
        <v>14</v>
      </c>
      <c r="E25" s="14" t="s">
        <v>25</v>
      </c>
    </row>
    <row r="26" spans="1:5">
      <c r="A26" s="9" t="s">
        <v>26</v>
      </c>
      <c r="B26" s="8">
        <v>3840000</v>
      </c>
      <c r="C26" s="2" t="s">
        <v>5</v>
      </c>
      <c r="D26" s="11" t="s">
        <v>14</v>
      </c>
      <c r="E26" s="14" t="s">
        <v>26</v>
      </c>
    </row>
    <row r="27" spans="1:5">
      <c r="A27" s="9" t="s">
        <v>27</v>
      </c>
      <c r="B27" s="8">
        <v>66051531</v>
      </c>
      <c r="C27" s="2" t="s">
        <v>5</v>
      </c>
      <c r="D27" s="11" t="s">
        <v>14</v>
      </c>
      <c r="E27" s="14" t="s">
        <v>27</v>
      </c>
    </row>
    <row r="28" spans="1:5">
      <c r="A28" s="9" t="s">
        <v>28</v>
      </c>
      <c r="B28" s="8">
        <v>2510000</v>
      </c>
      <c r="C28" s="2" t="s">
        <v>5</v>
      </c>
      <c r="D28" s="11" t="s">
        <v>14</v>
      </c>
      <c r="E28" s="14" t="s">
        <v>28</v>
      </c>
    </row>
    <row r="29" spans="1:5">
      <c r="A29" s="9" t="s">
        <v>29</v>
      </c>
      <c r="B29" s="8">
        <v>193896</v>
      </c>
      <c r="C29" s="2" t="s">
        <v>5</v>
      </c>
      <c r="D29" s="11" t="s">
        <v>14</v>
      </c>
      <c r="E29" s="14" t="s">
        <v>29</v>
      </c>
    </row>
    <row r="30" spans="1:5">
      <c r="A30" s="9" t="s">
        <v>30</v>
      </c>
      <c r="B30" s="8">
        <v>27044810</v>
      </c>
      <c r="C30" s="2" t="s">
        <v>5</v>
      </c>
      <c r="D30" s="11" t="s">
        <v>14</v>
      </c>
      <c r="E30" s="14" t="s">
        <v>30</v>
      </c>
    </row>
    <row r="31" spans="1:5">
      <c r="A31" s="9" t="s">
        <v>31</v>
      </c>
      <c r="B31" s="8">
        <v>7976027</v>
      </c>
      <c r="C31" s="2" t="s">
        <v>5</v>
      </c>
      <c r="D31" s="11" t="s">
        <v>14</v>
      </c>
      <c r="E31" s="14" t="s">
        <v>31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大漠孤烟</cp:lastModifiedBy>
  <dcterms:created xsi:type="dcterms:W3CDTF">2025-01-10T01:31:00Z</dcterms:created>
  <dcterms:modified xsi:type="dcterms:W3CDTF">2025-02-16T08:35:08Z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1A52127C4619759633517F67A1808E44_41</vt:lpwstr>
  </property>
  <property fmtid="{D5CDD505-2E9C-101B-9397-08002B2CF9AE}" pid="3" name="KSOProductBuildVer">
    <vt:lpwstr>2052-6.14.0.8924</vt:lpwstr>
  </property>
</Properties>
</file>